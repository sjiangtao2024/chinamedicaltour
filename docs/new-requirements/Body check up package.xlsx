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mc:AlternateContent xmlns:mc="http://schemas.openxmlformats.org/markup-compatibility/2006">
    <mc:Choice Requires="x15">
      <x15ac:absPath xmlns:x15ac="http://schemas.microsoft.com/office/spreadsheetml/2010/11/ac" url="/Users/jordanzhuang/Documents/"/>
    </mc:Choice>
  </mc:AlternateContent>
  <xr:revisionPtr revIDLastSave="0" documentId="8_{52B4B9F9-C0F0-144D-AA4D-8558CEF8331A}" xr6:coauthVersionLast="47" xr6:coauthVersionMax="47" xr10:uidLastSave="{00000000-0000-0000-0000-000000000000}"/>
  <bookViews>
    <workbookView xWindow="0" yWindow="600" windowWidth="68800" windowHeight="26400" xr2:uid="{00000000-000D-0000-FFFF-FFFF00000000}"/>
  </bookViews>
  <sheets>
    <sheet name="体检3个产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3" i="1" l="1"/>
  <c r="M3" i="1"/>
  <c r="N4" i="1"/>
  <c r="Q4" i="1"/>
  <c r="R4" i="1"/>
  <c r="M5" i="1"/>
  <c r="N5" i="1"/>
  <c r="Q5" i="1"/>
  <c r="R5" i="1"/>
  <c r="M6" i="1"/>
  <c r="N6" i="1"/>
  <c r="Q6" i="1"/>
  <c r="R6" i="1"/>
  <c r="M7" i="1"/>
  <c r="N7" i="1"/>
  <c r="Q7" i="1"/>
  <c r="R7" i="1"/>
  <c r="M8" i="1"/>
  <c r="N8" i="1"/>
  <c r="Q8" i="1"/>
  <c r="R8" i="1"/>
  <c r="M9" i="1"/>
  <c r="N9" i="1"/>
  <c r="Q9" i="1"/>
  <c r="R9" i="1"/>
  <c r="M10" i="1"/>
  <c r="N10" i="1"/>
  <c r="Q10" i="1"/>
  <c r="R10" i="1"/>
  <c r="M11" i="1"/>
  <c r="N11" i="1"/>
  <c r="Q11" i="1"/>
  <c r="R11" i="1"/>
  <c r="M12" i="1"/>
  <c r="N12" i="1"/>
  <c r="Q12" i="1"/>
  <c r="R12" i="1"/>
  <c r="M13" i="1"/>
  <c r="N13" i="1"/>
  <c r="Q13" i="1"/>
  <c r="R13" i="1"/>
  <c r="M14" i="1"/>
  <c r="N14" i="1"/>
  <c r="Q14" i="1"/>
  <c r="R14" i="1"/>
  <c r="M15" i="1"/>
  <c r="N15" i="1"/>
  <c r="Q15" i="1"/>
  <c r="R15" i="1"/>
  <c r="M16" i="1"/>
  <c r="N16" i="1"/>
  <c r="Q16" i="1"/>
  <c r="R16" i="1"/>
  <c r="M17" i="1"/>
  <c r="N17" i="1"/>
  <c r="Q17" i="1"/>
  <c r="R17" i="1"/>
  <c r="M18" i="1"/>
  <c r="N18" i="1"/>
  <c r="Q18" i="1"/>
  <c r="R18" i="1"/>
  <c r="M19" i="1"/>
  <c r="N19" i="1"/>
  <c r="Q19" i="1"/>
  <c r="R19" i="1"/>
  <c r="M20" i="1"/>
  <c r="N20" i="1"/>
  <c r="Q20" i="1"/>
  <c r="R20" i="1"/>
  <c r="M21" i="1"/>
  <c r="N21" i="1"/>
  <c r="Q21" i="1"/>
  <c r="R21" i="1"/>
  <c r="M22" i="1"/>
  <c r="N22" i="1"/>
  <c r="Q22" i="1"/>
  <c r="R22" i="1"/>
  <c r="M23" i="1"/>
  <c r="N23" i="1"/>
  <c r="Q23" i="1"/>
  <c r="R23" i="1"/>
  <c r="M24" i="1"/>
  <c r="N24" i="1"/>
  <c r="Q24" i="1"/>
  <c r="R24" i="1"/>
  <c r="M25" i="1"/>
  <c r="N25" i="1"/>
  <c r="Q25" i="1"/>
  <c r="R25" i="1"/>
  <c r="M26" i="1"/>
  <c r="N26" i="1"/>
  <c r="Q26" i="1"/>
  <c r="R26" i="1"/>
  <c r="Q27" i="1"/>
  <c r="R27" i="1"/>
  <c r="Q28" i="1"/>
  <c r="R28" i="1"/>
  <c r="M4"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<sst xmlns="http://schemas.openxmlformats.org/spreadsheetml/2006/main" count="442" uniqueCount="249">
  <si>
    <t>Body Check-up</t>
  </si>
  <si>
    <t>Premium Body Check-up</t>
  </si>
  <si>
    <t>Platinum Body Check-up</t>
  </si>
  <si>
    <t>Male</t>
  </si>
  <si>
    <t>Female</t>
  </si>
  <si>
    <t>体检项目</t>
  </si>
  <si>
    <t>体检项目详情</t>
  </si>
  <si>
    <t>Physical Examination Item</t>
  </si>
  <si>
    <t>Physical Examination Item Details</t>
  </si>
  <si>
    <t>单价/元</t>
  </si>
  <si>
    <t>Health Check Item</t>
  </si>
  <si>
    <t>Health Check Item Details</t>
  </si>
  <si>
    <t>一般检查及体格检查</t>
  </si>
  <si>
    <t>血压检测、体重指数（测量身高、体重，计算体重指数）测定；内科：病史采集及体格检查（心肺肝脾肾）
耳鼻喉科：外耳道、鼓膜、听力、鼻腔、鼻窦、咽喉（电耳镜、间接喉镜、嗅觉功能）眼科：眼底、眼压、裂隙灯检查</t>
  </si>
  <si>
    <t>General examination and physical examination</t>
  </si>
  <si>
    <t>Blood pressure check, Body Mass Index (measurement of height and weight, calculation of BMI); Internal Medicine: medical history collection and physical examination (heart, lungs, liver, spleen, kidneys); Otolaryngology: external auditory canal, eardrum, hearing, nasal cavity, sinuses, pharynx (electric ear mirror, indirect laryngoscope, olfactory function); Ophthalmology: fundus, intraocular pressure, slit lamp examination</t>
  </si>
  <si>
    <t>Blood pressure test, Body Mass Index (measurement of height and weight, calculation of BMI); Internal Medicine: medical history collection and physical examination (heart, lungs, liver, spleen, kidneys); Otolaryngology: external auditory canal, eardrum, hearing, nasal cavity, sinuses, pharynx (electric ear mirror, indirect laryngoscope, olfactory function); Ophthalmology: fundus, intraocular pressure, slit lamp examination</t>
  </si>
  <si>
    <t>血压检测、体重指数测定；内科：病史采集及体格检查；耳鼻喉科；眼科常规检查：眼压、裂隙灯检查、眼底照相；筛查常见慢性病的危险因素，如超重/肥胖、高血压；采集疾病诊断所需的重要参考资料；检查疾病的异常体征</t>
  </si>
  <si>
    <t>血液检查</t>
  </si>
  <si>
    <t>血常规：贫血及与各种血细胞如白细胞、血小板异常相关的血液系统疾病的基本检查项目</t>
  </si>
  <si>
    <t>Blood Test</t>
  </si>
  <si>
    <t>Complete Blood Count (CBC): Basic examination for blood system diseases related to anemia and abnormalities in various blood cells such as leukocytes and platelets</t>
  </si>
  <si>
    <t>Blood test</t>
  </si>
  <si>
    <t>Blood Routine: Basic Examination for Blood System Diseases Related to Anemia and Abnormalities in Various Blood Cells Such as White Blood Cells and Platelets</t>
  </si>
  <si>
    <t>血常规</t>
  </si>
  <si>
    <t>贫血及与各种血细胞如白细胞、血小板异常相关的血液系统疾病的基本检查项目</t>
  </si>
  <si>
    <t>血液：肝功能（不含乙肝两对半）</t>
  </si>
  <si>
    <t>Blood: Liver Function Test (excluding Hepatitis B markers)</t>
  </si>
  <si>
    <t>Blood Test: Liver Function (Excluding Hepatitis B Surface Antigen and Antibody)</t>
  </si>
  <si>
    <t>肝功能</t>
  </si>
  <si>
    <t xml:space="preserve">检测常用的肝、肾功能指标；筛查糖尿病；筛查心血管疾病的危险因素，如血脂异常、高尿酸血症 </t>
  </si>
  <si>
    <t>血液生化：空腹血糖、血脂（总胆固醇、高密度脂蛋白胆固醇、低密度脂蛋白胆固醇、甘油三酯）、肾功能（尿素、肌酐）、血尿酸等</t>
  </si>
  <si>
    <t>Blood biochemistry: fasting blood glucose, blood lipids (total cholesterol, high-density lipoprotein cholesterol, low-density lipoprotein cholesterol, triglycerides), renal function (urea, creatinine), blood uric acid, etc.</t>
  </si>
  <si>
    <t>Blood Biochemistry: Fasting Blood Glucose, Blood Lipids (Total Cholesterol, HDL Cholesterol, LDL Cholesterol, Triglycerides), Kidney Function (Urea, Creatinine), Blood Uric Acid, etc.</t>
  </si>
  <si>
    <t>心血管生化</t>
  </si>
  <si>
    <t>心电图检查</t>
  </si>
  <si>
    <t>心电图可以用来判断各种心律失常，如：窦性心动过速，窦性心动过缓，心房扑动，心房房颤等</t>
  </si>
  <si>
    <t>Electrocardiogram Examination</t>
  </si>
  <si>
    <t>An ECG can be used to diagnose various arrhythmias, such as sinus tachycardia, sinus bradycardia, atrial flutter, atrial fibrillation, etc.</t>
  </si>
  <si>
    <t>Electrocardiogram examination</t>
  </si>
  <si>
    <t>Electrocardiogram (ECG) is Used to Determine Various Arrhythmias, Such as: Sinus Tachycardia, Sinus Bradycardia, Atrial Flutter, Atrial Fibrillation, etc.</t>
  </si>
  <si>
    <t>糖化血红蛋白检测</t>
  </si>
  <si>
    <t>糖化血红蛋白反映近2～3个月平均血糖水平，可辅助糖尿病的诊断和筛查</t>
  </si>
  <si>
    <t>血清蛋白电泳</t>
  </si>
  <si>
    <t>主要用于肝病、肾病、自身免疫性疾病、血液病、多发性骨髓瘤等蛋白质紊乱性疾病</t>
  </si>
  <si>
    <t>腹部彩超（男）检查</t>
  </si>
  <si>
    <t>腹部彩超（男）：肝脏、胆囊、胰腺、脾脏、双肾、输尿管、膀胱、前列腺。Clinical Significance：探查腹部实质性脏器的异常超声改变，可筛查、诊断/辅助诊断占位性病变（肿瘤）、结石、囊肿等</t>
  </si>
  <si>
    <t>Abdominal Color Doppler Ultrasound (Male) Examination</t>
  </si>
  <si>
    <t>Abdominal彩超 (Male): Liver, gallbladder, pancreas, spleen, kidneys, ureters, bladder, prostate. Clinical Significance: To explore abnormal ultrasound changes in abdominal solid organs, which can screen for, diagnose or assist in diagnosing space-occupying lesions (tumors), stones, cysts, etc.</t>
  </si>
  <si>
    <t>腹部彩超（女）检查</t>
  </si>
  <si>
    <t>腹部彩超（女）：肝脏、胆囊、胰腺、脾脏、双肾、输尿管、膀胱、子宫、附件（卵巢、输卵管等）。Clinical Significance：探查腹部实质性脏器的异常超声改变，可筛查、诊断/辅助诊断占位性病变（肿瘤）、结石、囊肿等</t>
  </si>
  <si>
    <t>Abdominal彩超 (female) examination</t>
  </si>
  <si>
    <t>Abdominal彩超 (Female): Liver, Gallbladder, Pancreas, Spleen, Both Kidneys, Ureters, Bladder, Uterus, Adnexa (Ovaries, Fallopian Tubes, etc.). Clinical Significance: To detect abnormal ultrasonic changes in the abdominal solid organs, and to screen for, diagnose or assist in diagnosing space-occupying lesions (tumors), stones, cysts, etc.</t>
  </si>
  <si>
    <t>肿瘤标志物5项</t>
  </si>
  <si>
    <t>血液：癌胚抗原、游离前列腺特异性抗原、总前列腺特异性抗原、糖类抗原724（CA724）、糖类抗原199（CA199）。Clinical Significance：用于恶性肿瘤的辅助诊断</t>
  </si>
  <si>
    <t>甲状腺功能检查5项</t>
  </si>
  <si>
    <t>临床用于诊断甲状腺疾病（如甲亢、甲减、甲状腺炎等）的主要指标</t>
  </si>
  <si>
    <t>放射检查（胸部X线）</t>
  </si>
  <si>
    <t>用于检查胸部（肺、纵膈、心脏、骨性胸廓）病变，如肺部炎症、结核、肿瘤等。</t>
  </si>
  <si>
    <t>Radiological Examination (Chest X-ray)</t>
  </si>
  <si>
    <t>Used to examine lesions of the chest (lungs, mediastinum, heart, bony thorax), such as lung inflammation, tuberculosis, tumors, etc.</t>
  </si>
  <si>
    <t>Radiological examination (chest X-ray)</t>
  </si>
  <si>
    <t>Chest Examination (Lungs, Mediastinum, Heart, Bony Thorax): Used to detect lesions such as pneumonia, tuberculosis, tumors, etc.</t>
  </si>
  <si>
    <t>肝癌早期筛查3项</t>
  </si>
  <si>
    <t>作为肝癌筛查的常用指标，3项联合检测可以提高筛查早期肝癌的敏感性</t>
  </si>
  <si>
    <t>血同型半胱氨酸检测</t>
  </si>
  <si>
    <t>血同型半胱氨酸是心血管疾病的重要危险因素，用于评估心血管疾病的发病风险，适用于高血压人群</t>
  </si>
  <si>
    <t>尿液检查</t>
  </si>
  <si>
    <t>反映泌尿系统（肾脏等）疾病最基本的检查项目</t>
  </si>
  <si>
    <t>Urine Test</t>
  </si>
  <si>
    <t>The most basic examination item for reflecting diseases of the urinary system (kidneys, etc.)</t>
  </si>
  <si>
    <t>妇科检查</t>
  </si>
  <si>
    <t>电子阴道镜检查</t>
  </si>
  <si>
    <t>Gynecological examination</t>
  </si>
  <si>
    <t>Electronic Colposcopy Examination</t>
  </si>
  <si>
    <t>肿瘤标志物7项</t>
  </si>
  <si>
    <t>血液：癌胚抗原（CEA）、糖类抗原199（CA199）、糖类抗原153（CA153）、糖类抗原125（CA125）、神经原特异性烯醇化酶（NSE）、糖类抗原724（CA724）、非小细胞肺癌相关抗原（CYFRA21-1）。Clinical Significance：用于恶性肿瘤的辅助诊断</t>
  </si>
  <si>
    <t>血液：癌胚抗原（CEA）、糖类抗原199（CA199）、游离前列腺特异性抗原（fPSA）、总前列腺特异性抗原（PSA）、神经原特异性烯醇化酶（NSE）、糖类抗原724（CA724）、非小细胞肺癌相关抗原（CYFRA21-1）。Clinical Significance：用于恶性肿瘤的辅助诊断</t>
  </si>
  <si>
    <t>人体成分分析检测</t>
  </si>
  <si>
    <t>了解身体脂肪、蛋白质等分布状况及营养状态，主要测定人体脂肪的百分含量即脂肪占体重的比例，是判断肥胖程度、“正常体重”者发现“隐性肥胖”的重要指标</t>
  </si>
  <si>
    <t>Body Composition Analysis</t>
  </si>
  <si>
    <t>To understand the distribution of body fat, protein, etc., and nutritional status, mainly measuring the percentage of body fat, i.e., the proportion of fat to body weight, an important indicator for judging obesity levels and discovering 'hidden obesity' in 'normal weight' individuals</t>
  </si>
  <si>
    <t>宫颈癌高危致病病毒早期筛查金标准 HPV16、18型+白带常规</t>
  </si>
  <si>
    <t>High-Risk Pathogen Screening for Cervical Cancer - Gold Standard HPV16, 18 Types + Vaginal Discharge Routine</t>
  </si>
  <si>
    <t>肺癌4项</t>
  </si>
  <si>
    <t>肺癌早期筛查</t>
  </si>
  <si>
    <t>肿瘤标志物（肝癌早期筛查3项）</t>
  </si>
  <si>
    <t>早餐</t>
  </si>
  <si>
    <t>营养早餐：鸡蛋、牛奶、面点、粥、小菜等</t>
  </si>
  <si>
    <t>Breakfast</t>
  </si>
  <si>
    <t>Nutritional breakfast: eggs, milk, bread, porridge, side dishes, etc.</t>
  </si>
  <si>
    <t>Urinalysis</t>
  </si>
  <si>
    <t>Basic Examination for Diseases of the Urinary System (Kidneys, etc.)</t>
  </si>
  <si>
    <t>肺癌7种自身抗体检测</t>
  </si>
  <si>
    <t>肺癌自身抗体是新型肿瘤标记物，适用于肺癌高危人群筛查，也可用于肺癌辅助诊断，或肺结节生物良恶性评估。</t>
  </si>
  <si>
    <t>材料费</t>
  </si>
  <si>
    <t>一次性耗材、档案管理</t>
  </si>
  <si>
    <t>Material Fee</t>
  </si>
  <si>
    <t>Disposable consumables, file management</t>
  </si>
  <si>
    <t>Nutritional Breakfast: Eggs, Milk, Bread, Porridge, Side Dishes, etc.</t>
  </si>
  <si>
    <t>彩色多普勒超声检查</t>
  </si>
  <si>
    <t>胃功能检查</t>
  </si>
  <si>
    <t>胃镜是胃癌筛查的首选检查方法，推荐不愿意接受胃镜检查的胃癌筛查者进行此项检查，筛查胃癌高风险人群，结果为胃癌高风险者应考虑进一步胃镜检查。</t>
  </si>
  <si>
    <t>Subtotal</t>
  </si>
  <si>
    <t>Material fee</t>
  </si>
  <si>
    <t>Disposable consumables,档案管理</t>
  </si>
  <si>
    <t>甲状腺彩超。Clinical Significance：检查甲状腺的形态、大小等改变，筛查甲状腺结节等病变</t>
  </si>
  <si>
    <t>乳腺彩超。检查乳腺常见病变，乳腺彩超也是女性适龄人群乳腺癌筛查推荐的检查手段之一</t>
  </si>
  <si>
    <t>抗胰岛素抗体测定</t>
  </si>
  <si>
    <t>主要是鉴别诊断I型糖尿病，并且对糖尿病的筛查具有更高的灵敏度</t>
  </si>
  <si>
    <t>心脏彩色多普勒超声心动图。Clinical Significance：心脏彩超是检查心脏大血管结构、形态最常用的方法，是诊断先天性心脏病、心脏瓣膜病、心肌病等结构性心脏病的主要手段</t>
  </si>
  <si>
    <t>无创肠癌基因检测</t>
  </si>
  <si>
    <t>通过无创方式发现肠道早期癌前病变</t>
  </si>
  <si>
    <t>大便隐血定量</t>
  </si>
  <si>
    <t>筛查肉眼不可见的消化道出血（常见原因有消化道溃疡、恶性肿瘤等），定量试验相对于定性试验更为精确</t>
  </si>
  <si>
    <t>妇科检查＋宫颈液基薄层细胞学检查（TCT）。筛查宫颈癌及癌前病变。</t>
  </si>
  <si>
    <t>尿常规</t>
  </si>
  <si>
    <t>人乳头瘤病毒（HPV）高危型23项检测。人乳头瘤病毒（HPV）感染尤其是高危型HPV感染是宫颈癌及其癌前病变发生的主要病因，大多数HPV感染无症状，但感染持续存在可诱发宫颈癌变。</t>
  </si>
  <si>
    <t>尿核基质蛋白22（NMP）检测</t>
  </si>
  <si>
    <t>尿液中核基质蛋白22（NMP）是一种膀胱癌早期诊断的标记物，可用于膀胱癌的筛查</t>
  </si>
  <si>
    <t>阿尔茨海默相关神经丝蛋白（AD7C-NTP）检测</t>
  </si>
  <si>
    <t>AD7C-NTP作为一种新型无创检查，在阿尔茨海默的疾病发展各个阶段对各种伴随的神经、精神障碍进行实时风险检测，为药物干预、临床跟踪提供数据支持，降低阿尔茨海默症及系列疾病发生的可能性。</t>
  </si>
  <si>
    <t>幽门螺杆菌检测</t>
  </si>
  <si>
    <t>碳13呼气试验。检测是否有幽门螺杆菌感染。幽门螺杆菌感染是慢性胃炎、消化性溃疡、胃癌等最重要的致病因素。</t>
  </si>
  <si>
    <t>骨密度检测</t>
  </si>
  <si>
    <t>双能X线吸收仪（DXA）测量骨密度是目前应用广、认可度高的骨密度测量方法，可用于骨质疏松症的诊断和骨折风险性预测。</t>
  </si>
  <si>
    <t>放射检查（胸部CT）</t>
  </si>
  <si>
    <t>胸部CT平扫是目前肺癌筛查的推荐方法，适用于肺癌高风险人群筛查肺癌</t>
  </si>
  <si>
    <t>心理健康检测</t>
  </si>
  <si>
    <t>90项症状自评量表（SCL-90）、艾森克个性测验（EPQ）成人版、包含情绪、压力及睡眠等心身综合评估，实现慢病及心身疾病风险风险，全面了解健康状况，该项目对个体心身健康管理有着重要意义和作用。</t>
  </si>
  <si>
    <t>胸部CT</t>
  </si>
  <si>
    <t>颈动脉彩超：颈动脉超声检查是体检人群心血管病风险筛查的重要手段，是评价全身动脉硬化的一个“窗口”。通过测量颈动脉内中膜厚度（IMT）和检测有无斑块形成，对动脉粥样硬化性疾病的早期诊断具有重要价值，对心血管疾病风险评估与预测也具有重要意义</t>
  </si>
  <si>
    <t>经颅超声多普勒检查</t>
  </si>
  <si>
    <t>用超声多普勒技术对脑动脉血管进行检查，对脑动脉狭窄、闭塞、痉挛等有一定的辅助诊断价值</t>
  </si>
  <si>
    <t>赠送</t>
  </si>
  <si>
    <t>碳13呼气试验。检测是否有幽门螺杆菌感染。幽门螺杆菌感染是慢性胃炎、消化性溃疡、胃癌等最重要的致病因素，也是世界卫生组织（WHO）认定的胃癌Ⅰ类致癌原，在我国是胃癌的主要病因。</t>
  </si>
  <si>
    <t>合计：</t>
  </si>
  <si>
    <t>疾病风险评估</t>
  </si>
  <si>
    <t>常见慢性非传染性疾病（慢病）及危险因素的风险评估</t>
  </si>
  <si>
    <t>心率变异分析仪</t>
  </si>
  <si>
    <t>精神压力分析仪（心率变异分析仪）是用于评估个体精神压力水平，它通过分析心率变异性（HRV）来检测自主神经系统的活动平衡，从而客观反映心身压力状态，更好帮助自我察觉潜在心理压力风险</t>
  </si>
  <si>
    <t>经颅多普勒检查</t>
  </si>
  <si>
    <t>外周动脉硬化检测</t>
  </si>
  <si>
    <t>用于筛查外周动脉血管疾病；了解动脉血管的弹性、僵硬度（反映动脉硬化的指标）</t>
  </si>
  <si>
    <t>Medical Examination Items</t>
  </si>
  <si>
    <t>Details of Medical Examination Items</t>
  </si>
  <si>
    <t>General Examination and Physical Examination</t>
  </si>
  <si>
    <t>Blood pressure measurement, body mass index determination; Internal Medicine: medical history collection and physical examination; Otolaryngology; Ophthalmic routine examination: intraocular pressure, slit lamp examination, fundus photography; Screening for risk factors of common chronic diseases, such as overweight/obesity, hypertension; Collecting important reference materials required for disease diagnosis; Checking for abnormal signs of the disease</t>
  </si>
  <si>
    <t>Complete Blood Count (CBC)</t>
  </si>
  <si>
    <t>Basic examination items for blood system diseases related to anemia and abnormalities of various blood cells such as leukocytes and platelets</t>
  </si>
  <si>
    <t>Liver Function</t>
  </si>
  <si>
    <t>Detects commonly used liver and kidney function indicators; screens for diabetes; screens for risk factors of cardiovascular diseases, such as dyslipidemia and hyperuricemia</t>
  </si>
  <si>
    <t>Cardiovascular Biochemistry</t>
  </si>
  <si>
    <t>Serum Protein Electrophoresis</t>
  </si>
  <si>
    <t>Primarily used for protein metabolism disorders in liver, kidney, autoimmune, blood, and multiple myeloma diseases</t>
  </si>
  <si>
    <t>Glycated Hemoglobin Test</t>
  </si>
  <si>
    <t>Glycated hemoglobin reflects the average blood glucose level over the past 2 to 3 months and can assist in the diagnosis and screening of diabetes</t>
  </si>
  <si>
    <t>Five tests for thyroid function</t>
  </si>
  <si>
    <t>Main indicators used clinically for the diagnosis of thyroid diseases (such as hyperthyroidism, hypothyroidism, thyroiditis, etc.)</t>
  </si>
  <si>
    <t>Seven tumor markers</t>
  </si>
  <si>
    <t>Blood: Carcinoembryonic antigen (CEA), Carbohydrate antigen 199 (CA199), Free prostate-specific antigen (fPSA), Total prostate-specific antigen (PSA), Neuron-specific enolase (NSE), Carbohydrate antigen 724 (CA724), Non-small cell lung cancer-related antigen (CYFRA21-1). Clinical Significance: Used as an adjunct in the diagnosis of malignant tumors</t>
  </si>
  <si>
    <t>Three items for early liver cancer screening</t>
  </si>
  <si>
    <t>As common indicators for liver cancer screening, three combined tests can improve the sensitivity for early detection of liver cancer</t>
  </si>
  <si>
    <t>Seven types of autoantibodies for lung cancer detection</t>
  </si>
  <si>
    <t>Lung cancer autoantibodies are new tumor markers suitable for screening high-risk populations for lung cancer, and can also be used for auxiliary diagnosis of lung cancer, or for the assessment of the biological benignity or malignancy of pulmonary nodules.</t>
  </si>
  <si>
    <t>Gastrointestinal function examination</t>
  </si>
  <si>
    <t>Gastroscopy is the preferred method for gastric cancer screening. It is recommended for individuals who are unwilling to undergo gastroscopy. It is used for screening high-risk populations for gastric cancer. Those identified as high risk for gastric cancer should consider further gastroscopic examination.</t>
  </si>
  <si>
    <t>Insulin antibody determination</t>
  </si>
  <si>
    <t>Mainly used for differential diagnosis of Type 1 diabetes and has higher sensitivity for diabetes screening</t>
  </si>
  <si>
    <t>Non-invasive genetic testing for colon cancer</t>
  </si>
  <si>
    <t>Detecting early colorectal pre-cancerous lesions through non-invasive methods</t>
  </si>
  <si>
    <t>The most basic examination for diseases of the urinary system (kidneys, etc.)</t>
  </si>
  <si>
    <t>Urinary nuclear matrix protein 22 (NMP) detection</t>
  </si>
  <si>
    <t>Nuclear matrix protein 22 (NMP) in urine is a marker for early diagnosis of bladder cancer and can be used for screening of bladder cancer</t>
  </si>
  <si>
    <t>Alzheimer's disease-related neurofilament protein (AD7C-NTP) detection</t>
  </si>
  <si>
    <t>AD7C-NTP, as a novel non-invasive examination, conducts real-time risk detection for various associated neurological and psychiatric disorders at all stages of Alzheimer's disease development, providing data support for drug intervention and clinical monitoring, reducing the likelihood of Alzheimer's disease and related disorders.</t>
  </si>
  <si>
    <t>Electrocardiogram can be used to determine various arrhythmias, such as: sinus tachycardia, sinus bradycardia, atrial flutter, atrial fibrillation, etc.</t>
  </si>
  <si>
    <t>Color Doppler ultrasound examination</t>
  </si>
  <si>
    <t>Abdominal color Doppler ultrasound (male): liver, gallbladder, pancreas, spleen, both kidneys, ureters, bladder, prostate. Clinical Significance: Probing for abnormal ultrasound changes in the abdominal solid organs, can screen for and diagnose/assist in diagnosing space-occupying lesions (tumors), stones, cysts, etc.</t>
  </si>
  <si>
    <t>Thyroid color Doppler ultrasound. Clinical Significance: Inspecting changes in thyroid morphology and size, screening for thyroid nodules and other lesions.</t>
  </si>
  <si>
    <t>Carotid artery color Doppler ultrasound: Carotid artery ultrasound examination is an important means for cardiovascular disease risk screening in the health check-up population, and it is a 'window' for evaluating systemic arteriosclerosis. By measuring the intima-media thickness (IMT) of the carotid artery and detecting the presence or absence of plaque formation, it has significant value for the early diagnosis of atherosclerotic diseases and is also important for the risk assessment and prediction of cardiovascular diseases.</t>
  </si>
  <si>
    <t>Cardiac color Doppler echocardiogram. Clinical Significance: Cardiac ultrasound is the most commonly used method for examining the structure and shape of the heart and great vessels, and is the primary means for diagnosing structural heart diseases such as congenital heart disease, valvular heart disease, cardiomyopathy, etc.</t>
  </si>
  <si>
    <t>Helicobacter pylori detection</t>
  </si>
  <si>
    <t>Carbon 13 breath test. Detection of Helicobacter pylori infection. Helicobacter pylori infection is the most important pathogenic factor for chronic gastritis, peptic ulcer, gastric cancer, etc.</t>
  </si>
  <si>
    <t>Chest CT</t>
  </si>
  <si>
    <t>Chest CT scan is the recommended method for lung cancer screening, suitable for high-risk groups for lung cancer.</t>
  </si>
  <si>
    <t>Bone density measurement</t>
  </si>
  <si>
    <t>Dual-energy X-ray absorptiometry (DXA) is a widely used and highly recognized method for measuring bone density, which can be used for the diagnosis of osteoporosis and prediction of fracture risk.</t>
  </si>
  <si>
    <t>Disease Risk Assessment</t>
  </si>
  <si>
    <t>Risk Assessment of Common Chronic Non-Communicable Diseases (NCDs) and Risk Factors</t>
  </si>
  <si>
    <t>Heart Rate Variability Analyzer</t>
  </si>
  <si>
    <t>The Mental Stress Analyzer (Heart Rate Variability Analyzer) is used to assess an individual's level of mental stress. It detects the balance of autonomic nervous system activity by analyzing heart rate variability (HRV), thereby objectively reflecting the state of psychological stress, and better aiding in the awareness of potential psychological stress risks.</t>
  </si>
  <si>
    <t>Transcranial Doppler Examination</t>
  </si>
  <si>
    <t>Ultrasound Doppler technology is used to examine cerebral arterial vessels, providing auxiliary diagnostic value for cerebral artery stenosis, occlusion, spasm, etc.</t>
  </si>
  <si>
    <t>Peripheral Arterial硬化检测</t>
  </si>
  <si>
    <t>Used for screening peripheral arterial vascular diseases; understanding the elasticity and stiffness of arterial vessels (indicators reflecting arterial hardening).</t>
  </si>
  <si>
    <t>Nutritional Breakfast: Eggs, Milk, Bread, Porridge, Side dishes, etc.</t>
  </si>
  <si>
    <t>Material Fees</t>
  </si>
  <si>
    <t>Physical examination items</t>
  </si>
  <si>
    <t>Details of physical examination items</t>
  </si>
  <si>
    <t>Blood pressure measurement, body mass index determination; Internal medicine: medical history collection and physical examination; ENT; Ophthalmic routine examination: intraocular pressure, slit lamp examination, fundus photography; Screening for risk factors of common chronic diseases, such as overweight/obesity, hypertension; Collecting important reference materials for disease diagnosis; Checking for abnormal signs of the disease</t>
  </si>
  <si>
    <t>Complete blood count</t>
  </si>
  <si>
    <t>Basic examination items for anemia and various blood cell related diseases such as leukocytes, platelets, etc.</t>
  </si>
  <si>
    <t>Liver function</t>
  </si>
  <si>
    <t>Detecting common indicators of liver and kidney function; Screening for diabetes; Screening for risk factors for cardiovascular diseases, such as abnormal blood lipids, hyperuricemia</t>
  </si>
  <si>
    <t>Cardiovascular biochemistry</t>
  </si>
  <si>
    <t>Serum protein electrophoresis</t>
  </si>
  <si>
    <t>Primarily used for liver diseases, kidney diseases, autoimmune diseases, blood diseases, multiple myeloma and other protein disorders</t>
  </si>
  <si>
    <t>Glycated hemoglobin test</t>
  </si>
  <si>
    <t>Glycated hemoglobin reflects the average blood glucose level of the past 2 to 3 months and can assist in the diagnosis and screening of diabetes</t>
  </si>
  <si>
    <t>Thyroid function test 5 items</t>
  </si>
  <si>
    <t>Clinical indicators used primarily for diagnosing thyroid diseases (such as hyperthyroidism, hypothyroidism, thyroiditis, etc.)</t>
  </si>
  <si>
    <t>Tumor markers 7 items</t>
  </si>
  <si>
    <t>Blood: Carcinoembryonic antigen (CEA), Carbohydrate antigen 199 (CA199), Carbohydrate antigen 153 (CA153), Carbohydrate antigen 125 (CA125), Neuron-specific enolase (NSE), Carbohydrate antigen 724 (CA724), Non-small cell lung cancer-related antigen (CYFRA21-1). Clinical Significance: Used for auxiliary diagnosis of malignant tumors</t>
  </si>
  <si>
    <t>Early detection of liver cancer 3 items</t>
  </si>
  <si>
    <t>As a common indicator for liver cancer screening, the combined detection of three items can improve the sensitivity of screening for early liver cancer</t>
  </si>
  <si>
    <t>Lung Cancer 7 Autoantibody Test</t>
  </si>
  <si>
    <t>Lung cancer autoantibodies are new tumor markers suitable for screening high-risk groups for lung cancer, and can also be used for auxiliary diagnosis of lung cancer, or for the assessment of the biological benignity or malignancy of lung nodules.</t>
  </si>
  <si>
    <t>Gastrointestinal Function Test</t>
  </si>
  <si>
    <t>Gastroscopy is the preferred method for gastric cancer screening. It is recommended for those unwilling to undergo gastroscopy and for screening high-risk groups for gastric cancer. Those with high-risk results should consider further gastroscopy.</t>
  </si>
  <si>
    <t>Anti-insulin Antibody Assay</t>
  </si>
  <si>
    <t>Primarily used for differential diagnosis of Type I diabetes and has higher sensitivity for diabetes screening.</t>
  </si>
  <si>
    <t>Non-invasive Colorectal Cancer Genetic Test</t>
  </si>
  <si>
    <t>Detects early pre-cancerous lesions of the intestine through a non-invasive method.</t>
  </si>
  <si>
    <t>Reflects the most basic examination item for diseases of the urinary system (kidneys, etc.).</t>
  </si>
  <si>
    <t>Alzheimer-Associated Neurofibrillary Protein (AD7C-NTP) Test</t>
  </si>
  <si>
    <t>AD7C-NTP, as a new non-invasive examination, conducts real-time risk detection for various associated neurological and mental disorders at all stages of Alzheimer's disease development, providing data support for drug intervention and clinical tracking, reducing the possibility of Alzheimer's disease and related diseases.</t>
  </si>
  <si>
    <t>Urine Nucleosomal Matrix Protein 22 (NMP) Test</t>
  </si>
  <si>
    <t>Nuclear matrix protein 22 (NMP) in urine is a marker for early diagnosis of bladder cancer and can be used for screening of bladder cancer.</t>
  </si>
  <si>
    <t>The electrocardiogram can be used to determine various arrhythmias, such as sinus tachycardia, sinus bradycardia, atrial flutter, atrial fibrillation, etc.</t>
  </si>
  <si>
    <t>Color Doppler Ultrasonography</t>
  </si>
  <si>
    <t>Abdominal彩超 (female): Liver, gallbladder, pancreas, spleen, both kidneys, ureters, bladder, uterus, and附件 (ovaries, fallopian tubes, etc.). Clinical Significance: Probes for abnormal ultrasonic changes in abdominal solid organs, can screen for and diagnose/assist in diagnosing space-occupying lesions (tumors), stones, cysts, etc.</t>
  </si>
  <si>
    <t>Breast彩超. Checks for common breast lesions and is one of the recommended screening methods for breast cancer in women of appropriate age.</t>
  </si>
  <si>
    <t>Thyroid彩超. Clinical Significance: Checks for changes in thyroid morphology and size, screening for thyroid nodules and other lesions.</t>
  </si>
  <si>
    <t>Carotid artery color Doppler ultrasound: Carotid artery ultrasound examination is an important means for screening cardiovascular disease risk in the general population and serves as a "window" for evaluating generalized atherosclerosis. By measuring carotid intima-media thickness (IMT) and detecting plaque formation, it has significant value for the early diagnosis of atherosclerotic diseases and is also important for assessing and predicting cardiovascular disease risk.</t>
  </si>
  <si>
    <t>Color Doppler echocardiography. Clinical Significance: Echocardiography is the most commonly used method for examining the structure and morphology of the heart and major blood vessels and is the primary means for diagnosing structural heart diseases such as congenital heart disease, valvular heart disease, and cardiomyopathies.</t>
  </si>
  <si>
    <t>Helicobacter pylori Detection</t>
  </si>
  <si>
    <t>Carbon-13 breath test. It detects Helicobacter pylori infection. Helicobacter pylori infection is the most important pathogenic factor for chronic gastritis, peptic ulcer, gastric cancer, etc. It is also classified as a Group I carcinogen for gastric cancer by the World Health Organization (WHO) and is the main cause of gastric cancer in China.</t>
  </si>
  <si>
    <t>Plain chest CT is the recommended method for lung cancer screening and is suitable for screening lung cancer in high-risk populations.</t>
  </si>
  <si>
    <t>Bone Density Test</t>
  </si>
  <si>
    <t>Dual-energy X-ray Absorptiometry (DXA) measurement of bone density is a widely used and highly recognized method for measuring bone density, applicable for the diagnosis of osteoporosis and the prediction of fracture risk.</t>
  </si>
  <si>
    <t>Gynecological Examination</t>
  </si>
  <si>
    <t>Gynecological examination + ThinPrep Cytologic Test (TCT) for cervical cancer screening and precancerous lesions.</t>
  </si>
  <si>
    <t>High-risk human papillomavirus (HPV) 23-type test. HPV infection, especially high-risk HPV infection, is the main cause of cervical cancer and its precancerous lesions. Most HPV infections are asymptomatic, but persistent infection can induce cervical cancer.</t>
  </si>
  <si>
    <t>The mental stress analyzer (heart rate variability analyzer) is used to assess an individual's mental stress level. It detects the balance of activity in the autonomic nervous system by analyzing heart rate variability (HRV), thereby objectively reflecting the state of psychosocial stress and better helping individuals to perceive potential psychological stress risks.</t>
  </si>
  <si>
    <t>Ultrasound Doppler technology is used to examine cerebral arteries, which has certain auxiliary diagnostic value for cerebral artery stenosis, occlusion, and spasms.</t>
  </si>
  <si>
    <t>Used for screening peripheral arterial vascular diseases; to understand the elasticity and stiffness of arterial blood vessels (indicators reflecting arteriosclerosis)</t>
  </si>
  <si>
    <t>Nutritious breakfast: eggs, milk, pastries, porridge, side dishes, etc.</t>
  </si>
  <si>
    <t>Disposable consumables, archive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</si>
</sst>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2">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s>
  <cellStyleXfs count="1">
    <xf numFmtId="0" fontId="0" fillId="0" borderId="0">
      <alignment vertical="center"/>
    </xf>
  </cellStyleXfs>
  <cellXfs count="30">
    <xf numFmtId="0" fontId="0" fillId="0" borderId="0" xfId="0">
      <alignment vertical="center"/>
    </xf>
    <xf numFmtId="0" fontId="0" fillId="0" borderId="1" xfId="0" applyBorder="1">
      <alignment vertical="center"/>
    </xf>
    <xf numFmtId="0" fontId="0" fillId="0" borderId="4" xfId="0" applyBorder="1">
      <alignment vertical="center"/>
    </xf>
    <xf numFmtId="0" fontId="0" fillId="0" borderId="5" xfId="0" applyBorder="1">
      <alignment vertical="center"/>
    </xf>
    <xf numFmtId="0" fontId="0" fillId="0" borderId="8" xfId="0" applyBorder="1">
      <alignment vertical="center"/>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lignment vertical="center"/>
    </xf>
    <xf numFmtId="0" fontId="0" fillId="0" borderId="11" xfId="0" applyBorder="1">
      <alignmen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vertical="center"/>
    </xf>
    <xf numFmtId="0" fontId="0" fillId="0" borderId="0" xfId="0" applyAlignment="1">
      <alignment vertical="center"/>
    </xf>
    <xf numFmtId="0" fontId="0" fillId="0" borderId="2" xfId="0" applyBorder="1" applyAlignme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10" Type="http://www.wps.cn/officeDocument/2021/sharedlinks" Target="NUL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14</v>
  </rv>
</rvData>
</file>

<file path=xl/richData/rdrichvaluestructure.xml><?xml version="1.0" encoding="utf-8"?>
<rvStructures xmlns="http://schemas.microsoft.com/office/spreadsheetml/2017/richdata" count="1">
  <s t="_error">
    <k n="error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6"/>
  <sheetViews>
    <sheetView tabSelected="1" workbookViewId="0">
      <selection activeCell="K4" sqref="K4"/>
    </sheetView>
  </sheetViews>
  <sheetFormatPr baseColWidth="10" defaultColWidth="8.6640625" defaultRowHeight="14"/>
  <cols>
    <col min="1" max="1" width="10.83203125" style="5" customWidth="1"/>
    <col min="2" max="4" width="20.33203125" style="5" customWidth="1"/>
    <col min="5" max="5" width="8.5" style="5" customWidth="1"/>
    <col min="6" max="6" width="11" style="5" customWidth="1"/>
    <col min="7" max="9" width="24" style="5" customWidth="1"/>
    <col min="10" max="10" width="8.5" style="5" customWidth="1"/>
    <col min="11" max="11" width="12" customWidth="1"/>
    <col min="12" max="12" width="9.6640625" style="5" customWidth="1"/>
    <col min="13" max="13" width="16.83203125" style="28" customWidth="1"/>
    <col min="14" max="14" width="29.6640625" style="5" customWidth="1"/>
    <col min="15" max="15" width="10.83203125" style="5" customWidth="1"/>
    <col min="16" max="18" width="17.6640625" style="5" customWidth="1"/>
    <col min="19" max="19" width="8.6640625" style="5"/>
    <col min="20" max="23" width="8.6640625" style="5" customWidth="1"/>
    <col min="24" max="25" width="8.6640625" style="5"/>
    <col min="26" max="28" width="15.1640625" style="5" customWidth="1"/>
  </cols>
  <sheetData>
    <row r="1" spans="1:29" ht="15" thickBot="1">
      <c r="A1" s="19" t="s">
        <v>0</v>
      </c>
      <c r="B1" s="20"/>
      <c r="C1" s="20"/>
      <c r="D1" s="20"/>
      <c r="E1" s="20"/>
      <c r="F1" s="20"/>
      <c r="G1" s="20"/>
      <c r="H1" s="20"/>
      <c r="I1" s="20"/>
      <c r="J1" s="21"/>
      <c r="K1" s="22" t="s">
        <v>1</v>
      </c>
      <c r="L1" s="23"/>
      <c r="M1" s="23"/>
      <c r="N1" s="23"/>
      <c r="O1" s="20"/>
      <c r="P1" s="20"/>
      <c r="Q1" s="20"/>
      <c r="R1" s="20"/>
      <c r="S1" s="24"/>
      <c r="T1" s="22" t="s">
        <v>2</v>
      </c>
      <c r="U1" s="23"/>
      <c r="V1" s="23"/>
      <c r="W1" s="23"/>
      <c r="X1" s="23"/>
      <c r="Y1" s="23"/>
      <c r="Z1" s="23"/>
      <c r="AA1" s="23"/>
      <c r="AB1" s="23"/>
      <c r="AC1" s="24"/>
    </row>
    <row r="2" spans="1:29" ht="15" thickBot="1">
      <c r="A2" s="19" t="s">
        <v>3</v>
      </c>
      <c r="B2" s="20"/>
      <c r="C2" s="20"/>
      <c r="D2" s="20"/>
      <c r="E2" s="21"/>
      <c r="F2" s="19" t="s">
        <v>4</v>
      </c>
      <c r="G2" s="20"/>
      <c r="H2" s="20"/>
      <c r="I2" s="20"/>
      <c r="J2" s="21"/>
      <c r="K2" s="22" t="s">
        <v>3</v>
      </c>
      <c r="L2" s="23"/>
      <c r="M2" s="23"/>
      <c r="N2" s="23"/>
      <c r="O2" s="19" t="s">
        <v>4</v>
      </c>
      <c r="P2" s="20"/>
      <c r="Q2" s="20"/>
      <c r="R2" s="20"/>
      <c r="S2" s="21"/>
      <c r="T2" s="19" t="s">
        <v>3</v>
      </c>
      <c r="U2" s="20"/>
      <c r="V2" s="20"/>
      <c r="W2" s="20"/>
      <c r="X2" s="21"/>
      <c r="Y2" s="22" t="s">
        <v>4</v>
      </c>
      <c r="Z2" s="23"/>
      <c r="AA2" s="23"/>
      <c r="AB2" s="23"/>
      <c r="AC2" s="24"/>
    </row>
    <row r="3" spans="1:29" ht="40" customHeight="1" thickBot="1">
      <c r="A3" s="6" t="s">
        <v>5</v>
      </c>
      <c r="B3" s="7" t="s">
        <v>6</v>
      </c>
      <c r="C3" s="7" t="s">
        <v>7</v>
      </c>
      <c r="D3" s="7" t="s">
        <v>8</v>
      </c>
      <c r="E3" s="8" t="s">
        <v>9</v>
      </c>
      <c r="F3" s="6" t="s">
        <v>5</v>
      </c>
      <c r="G3" s="7" t="s">
        <v>6</v>
      </c>
      <c r="H3" s="7" t="s">
        <v>10</v>
      </c>
      <c r="I3" s="7" t="s">
        <v>11</v>
      </c>
      <c r="J3" s="7" t="s">
        <v>9</v>
      </c>
      <c r="K3" s="17" t="s">
        <v>5</v>
      </c>
      <c r="L3" s="12" t="s">
        <v>6</v>
      </c>
      <c r="M3" s="27" t="str">
        <f>H3</f>
        <v>Health Check Item</v>
      </c>
      <c r="N3" s="7" t="s">
        <v>11</v>
      </c>
      <c r="O3" s="11" t="s">
        <v>5</v>
      </c>
      <c r="P3" s="12" t="s">
        <v>6</v>
      </c>
      <c r="Q3" s="27" t="str">
        <f>L3</f>
        <v>体检项目详情</v>
      </c>
      <c r="R3" s="7" t="s">
        <v>11</v>
      </c>
      <c r="S3" s="12" t="s">
        <v>9</v>
      </c>
      <c r="T3" s="11" t="s">
        <v>5</v>
      </c>
      <c r="U3" s="12" t="s">
        <v>6</v>
      </c>
      <c r="V3" s="12" t="s">
        <v>144</v>
      </c>
      <c r="W3" s="12" t="s">
        <v>145</v>
      </c>
      <c r="X3" s="12" t="s">
        <v>9</v>
      </c>
      <c r="Y3" s="11" t="s">
        <v>5</v>
      </c>
      <c r="Z3" s="12" t="s">
        <v>6</v>
      </c>
      <c r="AA3" s="12" t="s">
        <v>198</v>
      </c>
      <c r="AB3" s="12" t="s">
        <v>199</v>
      </c>
      <c r="AC3" s="18" t="s">
        <v>9</v>
      </c>
    </row>
    <row r="4" spans="1:29" ht="409.6" thickBot="1">
      <c r="A4" s="9" t="s">
        <v>12</v>
      </c>
      <c r="B4" s="5" t="s">
        <v>13</v>
      </c>
      <c r="C4" s="7" t="s">
        <v>14</v>
      </c>
      <c r="D4" s="7" t="s">
        <v>15</v>
      </c>
      <c r="E4" s="10">
        <v>82</v>
      </c>
      <c r="F4" s="9" t="s">
        <v>12</v>
      </c>
      <c r="G4" s="5" t="s">
        <v>13</v>
      </c>
      <c r="H4" s="7" t="s">
        <v>14</v>
      </c>
      <c r="I4" s="7" t="s">
        <v>16</v>
      </c>
      <c r="J4" s="5">
        <v>82</v>
      </c>
      <c r="K4" s="2" t="s">
        <v>12</v>
      </c>
      <c r="L4" s="5" t="s">
        <v>17</v>
      </c>
      <c r="M4" s="27">
        <f ca="1">_xlfn.TRANSLATE(K4,"zh-chs","en")</f>
        <v>0</v>
      </c>
      <c r="N4" s="12" t="e">
        <f t="shared" ref="N3:N26" ca="1" si="0">_wpsfn.WPSAI.TRANSLATE(L4,"英文")</f>
        <v>#NAME?</v>
      </c>
      <c r="O4" s="9" t="s">
        <v>12</v>
      </c>
      <c r="P4" s="5" t="s">
        <v>17</v>
      </c>
      <c r="Q4" s="12" t="e">
        <f t="shared" ref="Q3:Q28" ca="1" si="1">_wpsfn.WPSAI.TRANSLATE(O4,"英文")</f>
        <v>#NAME?</v>
      </c>
      <c r="R4" s="12" t="e">
        <f t="shared" ref="R3:R28" ca="1" si="2">_wpsfn.WPSAI.TRANSLATE(P4,"英文")</f>
        <v>#NAME?</v>
      </c>
      <c r="S4" s="5">
        <v>101</v>
      </c>
      <c r="T4" s="9" t="s">
        <v>12</v>
      </c>
      <c r="U4" s="5" t="s">
        <v>17</v>
      </c>
      <c r="V4" s="12" t="s">
        <v>146</v>
      </c>
      <c r="W4" s="12" t="s">
        <v>147</v>
      </c>
      <c r="X4" s="5">
        <v>101</v>
      </c>
      <c r="Y4" s="9" t="s">
        <v>12</v>
      </c>
      <c r="Z4" s="5" t="s">
        <v>17</v>
      </c>
      <c r="AA4" s="12" t="s">
        <v>14</v>
      </c>
      <c r="AB4" s="12" t="s">
        <v>200</v>
      </c>
      <c r="AC4" s="3">
        <v>101</v>
      </c>
    </row>
    <row r="5" spans="1:29" ht="357" thickBot="1">
      <c r="A5" s="9" t="s">
        <v>18</v>
      </c>
      <c r="B5" s="5" t="s">
        <v>19</v>
      </c>
      <c r="C5" s="7" t="s">
        <v>20</v>
      </c>
      <c r="D5" s="7" t="s">
        <v>21</v>
      </c>
      <c r="E5" s="10">
        <v>14.5</v>
      </c>
      <c r="F5" s="9" t="s">
        <v>18</v>
      </c>
      <c r="G5" s="5" t="s">
        <v>19</v>
      </c>
      <c r="H5" s="7" t="s">
        <v>22</v>
      </c>
      <c r="I5" s="7" t="s">
        <v>23</v>
      </c>
      <c r="J5" s="5">
        <v>14.5</v>
      </c>
      <c r="K5" s="2" t="s">
        <v>24</v>
      </c>
      <c r="L5" s="5" t="s">
        <v>25</v>
      </c>
      <c r="M5" s="27" t="e">
        <f t="shared" ref="M3:M26" ca="1" si="3">_wpsfn.WPSAI.TRANSLATE(K5,"英文")</f>
        <v>#NAME?</v>
      </c>
      <c r="N5" s="12" t="e">
        <f t="shared" ca="1" si="0"/>
        <v>#NAME?</v>
      </c>
      <c r="O5" s="9" t="s">
        <v>24</v>
      </c>
      <c r="P5" s="5" t="s">
        <v>25</v>
      </c>
      <c r="Q5" s="12" t="e">
        <f t="shared" ca="1" si="1"/>
        <v>#NAME?</v>
      </c>
      <c r="R5" s="12" t="e">
        <f t="shared" ca="1" si="2"/>
        <v>#NAME?</v>
      </c>
      <c r="S5" s="5">
        <v>14.5</v>
      </c>
      <c r="T5" s="9" t="s">
        <v>24</v>
      </c>
      <c r="U5" s="5" t="s">
        <v>25</v>
      </c>
      <c r="V5" s="12" t="s">
        <v>148</v>
      </c>
      <c r="W5" s="12" t="s">
        <v>149</v>
      </c>
      <c r="X5" s="5">
        <v>14.5</v>
      </c>
      <c r="Y5" s="9" t="s">
        <v>24</v>
      </c>
      <c r="Z5" s="5" t="s">
        <v>25</v>
      </c>
      <c r="AA5" s="12" t="s">
        <v>201</v>
      </c>
      <c r="AB5" s="12" t="s">
        <v>202</v>
      </c>
      <c r="AC5" s="3">
        <v>14.5</v>
      </c>
    </row>
    <row r="6" spans="1:29" ht="409.6" thickBot="1">
      <c r="A6" s="9"/>
      <c r="B6" s="5" t="s">
        <v>26</v>
      </c>
      <c r="C6" s="7">
        <v>0</v>
      </c>
      <c r="D6" s="7" t="s">
        <v>27</v>
      </c>
      <c r="E6" s="10">
        <v>32</v>
      </c>
      <c r="F6" s="9"/>
      <c r="G6" s="5" t="s">
        <v>26</v>
      </c>
      <c r="H6" s="7">
        <v>0</v>
      </c>
      <c r="I6" s="7" t="s">
        <v>28</v>
      </c>
      <c r="J6" s="5">
        <v>32</v>
      </c>
      <c r="K6" s="2" t="s">
        <v>29</v>
      </c>
      <c r="L6" s="5" t="s">
        <v>30</v>
      </c>
      <c r="M6" s="27" t="e">
        <f t="shared" ca="1" si="3"/>
        <v>#NAME?</v>
      </c>
      <c r="N6" s="12" t="e">
        <f t="shared" ca="1" si="0"/>
        <v>#NAME?</v>
      </c>
      <c r="O6" s="9" t="s">
        <v>29</v>
      </c>
      <c r="P6" s="5" t="s">
        <v>30</v>
      </c>
      <c r="Q6" s="12" t="e">
        <f t="shared" ca="1" si="1"/>
        <v>#NAME?</v>
      </c>
      <c r="R6" s="12" t="e">
        <f t="shared" ca="1" si="2"/>
        <v>#NAME?</v>
      </c>
      <c r="S6" s="5">
        <v>32</v>
      </c>
      <c r="T6" s="9" t="s">
        <v>29</v>
      </c>
      <c r="U6" s="5" t="s">
        <v>30</v>
      </c>
      <c r="V6" s="12" t="s">
        <v>150</v>
      </c>
      <c r="W6" s="12" t="s">
        <v>151</v>
      </c>
      <c r="X6" s="5">
        <v>32</v>
      </c>
      <c r="Y6" s="9" t="s">
        <v>29</v>
      </c>
      <c r="Z6" s="26" t="s">
        <v>30</v>
      </c>
      <c r="AA6" s="12" t="s">
        <v>203</v>
      </c>
      <c r="AB6" s="12" t="s">
        <v>204</v>
      </c>
      <c r="AC6" s="3">
        <v>32</v>
      </c>
    </row>
    <row r="7" spans="1:29" ht="211" thickBot="1">
      <c r="A7" s="9"/>
      <c r="B7" s="5" t="s">
        <v>31</v>
      </c>
      <c r="C7" s="7">
        <v>0</v>
      </c>
      <c r="D7" s="7" t="s">
        <v>32</v>
      </c>
      <c r="E7" s="10">
        <v>32</v>
      </c>
      <c r="F7" s="9"/>
      <c r="G7" s="5" t="s">
        <v>31</v>
      </c>
      <c r="H7" s="7">
        <v>0</v>
      </c>
      <c r="I7" s="7" t="s">
        <v>33</v>
      </c>
      <c r="J7" s="5">
        <v>32</v>
      </c>
      <c r="K7" s="2" t="s">
        <v>34</v>
      </c>
      <c r="M7" s="27" t="e">
        <f t="shared" ca="1" si="3"/>
        <v>#NAME?</v>
      </c>
      <c r="N7" s="12" t="e">
        <f t="shared" ca="1" si="0"/>
        <v>#NAME?</v>
      </c>
      <c r="O7" s="9" t="s">
        <v>34</v>
      </c>
      <c r="Q7" s="12" t="e">
        <f t="shared" ca="1" si="1"/>
        <v>#NAME?</v>
      </c>
      <c r="R7" s="12" t="e">
        <f t="shared" ca="1" si="2"/>
        <v>#NAME?</v>
      </c>
      <c r="S7" s="5">
        <v>32</v>
      </c>
      <c r="T7" s="9" t="s">
        <v>34</v>
      </c>
      <c r="V7" s="12" t="s">
        <v>152</v>
      </c>
      <c r="W7" s="12">
        <v>0</v>
      </c>
      <c r="X7" s="5">
        <v>32</v>
      </c>
      <c r="Y7" s="9" t="s">
        <v>34</v>
      </c>
      <c r="Z7" s="26"/>
      <c r="AA7" s="12" t="s">
        <v>205</v>
      </c>
      <c r="AB7" s="12">
        <v>0</v>
      </c>
      <c r="AC7" s="3">
        <v>32</v>
      </c>
    </row>
    <row r="8" spans="1:29" ht="286" thickBot="1">
      <c r="A8" s="9" t="s">
        <v>35</v>
      </c>
      <c r="B8" s="5" t="s">
        <v>36</v>
      </c>
      <c r="C8" s="7" t="s">
        <v>37</v>
      </c>
      <c r="D8" s="7" t="s">
        <v>38</v>
      </c>
      <c r="E8" s="10">
        <v>34</v>
      </c>
      <c r="F8" s="9" t="s">
        <v>35</v>
      </c>
      <c r="G8" s="5" t="s">
        <v>36</v>
      </c>
      <c r="H8" s="7" t="s">
        <v>39</v>
      </c>
      <c r="I8" s="7" t="s">
        <v>40</v>
      </c>
      <c r="J8" s="5">
        <v>34</v>
      </c>
      <c r="K8" s="2" t="s">
        <v>41</v>
      </c>
      <c r="L8" s="5" t="s">
        <v>42</v>
      </c>
      <c r="M8" s="27" t="e">
        <f t="shared" ca="1" si="3"/>
        <v>#NAME?</v>
      </c>
      <c r="N8" s="12" t="e">
        <f t="shared" ca="1" si="0"/>
        <v>#NAME?</v>
      </c>
      <c r="O8" s="9" t="s">
        <v>41</v>
      </c>
      <c r="P8" s="5" t="s">
        <v>42</v>
      </c>
      <c r="Q8" s="12" t="e">
        <f t="shared" ca="1" si="1"/>
        <v>#NAME?</v>
      </c>
      <c r="R8" s="12" t="e">
        <f t="shared" ca="1" si="2"/>
        <v>#NAME?</v>
      </c>
      <c r="S8" s="5">
        <v>30</v>
      </c>
      <c r="T8" s="9" t="s">
        <v>43</v>
      </c>
      <c r="U8" s="5" t="s">
        <v>44</v>
      </c>
      <c r="V8" s="12" t="s">
        <v>153</v>
      </c>
      <c r="W8" s="12" t="s">
        <v>154</v>
      </c>
      <c r="X8" s="5">
        <v>36</v>
      </c>
      <c r="Y8" s="9" t="s">
        <v>43</v>
      </c>
      <c r="Z8" s="5" t="s">
        <v>44</v>
      </c>
      <c r="AA8" s="12" t="s">
        <v>206</v>
      </c>
      <c r="AB8" s="12" t="s">
        <v>207</v>
      </c>
      <c r="AC8" s="3">
        <v>36</v>
      </c>
    </row>
    <row r="9" spans="1:29" ht="357" thickBot="1">
      <c r="A9" s="9" t="s">
        <v>45</v>
      </c>
      <c r="B9" s="5" t="s">
        <v>46</v>
      </c>
      <c r="C9" s="7" t="s">
        <v>47</v>
      </c>
      <c r="D9" s="7" t="s">
        <v>48</v>
      </c>
      <c r="E9" s="10">
        <v>190</v>
      </c>
      <c r="F9" s="9" t="s">
        <v>49</v>
      </c>
      <c r="G9" s="5" t="s">
        <v>50</v>
      </c>
      <c r="H9" s="7" t="s">
        <v>51</v>
      </c>
      <c r="I9" s="7" t="s">
        <v>52</v>
      </c>
      <c r="J9" s="5">
        <v>290</v>
      </c>
      <c r="K9" s="2" t="s">
        <v>53</v>
      </c>
      <c r="L9" s="5" t="s">
        <v>54</v>
      </c>
      <c r="M9" s="27" t="e">
        <f t="shared" ca="1" si="3"/>
        <v>#NAME?</v>
      </c>
      <c r="N9" s="12" t="e">
        <f t="shared" ca="1" si="0"/>
        <v>#NAME?</v>
      </c>
      <c r="O9" s="9" t="s">
        <v>55</v>
      </c>
      <c r="P9" s="5" t="s">
        <v>56</v>
      </c>
      <c r="Q9" s="12" t="e">
        <f t="shared" ca="1" si="1"/>
        <v>#NAME?</v>
      </c>
      <c r="R9" s="12" t="e">
        <f t="shared" ca="1" si="2"/>
        <v>#NAME?</v>
      </c>
      <c r="S9" s="5">
        <v>165</v>
      </c>
      <c r="T9" s="9" t="s">
        <v>41</v>
      </c>
      <c r="U9" s="5" t="s">
        <v>42</v>
      </c>
      <c r="V9" s="12" t="s">
        <v>155</v>
      </c>
      <c r="W9" s="12" t="s">
        <v>156</v>
      </c>
      <c r="X9" s="5">
        <v>30</v>
      </c>
      <c r="Y9" s="9" t="s">
        <v>41</v>
      </c>
      <c r="Z9" s="5" t="s">
        <v>42</v>
      </c>
      <c r="AA9" s="12" t="s">
        <v>208</v>
      </c>
      <c r="AB9" s="12" t="s">
        <v>209</v>
      </c>
      <c r="AC9" s="3">
        <v>30</v>
      </c>
    </row>
    <row r="10" spans="1:29" ht="329" thickBot="1">
      <c r="A10" s="9" t="s">
        <v>57</v>
      </c>
      <c r="B10" s="5" t="s">
        <v>58</v>
      </c>
      <c r="C10" s="7" t="s">
        <v>59</v>
      </c>
      <c r="D10" s="7" t="s">
        <v>60</v>
      </c>
      <c r="E10" s="10">
        <v>120</v>
      </c>
      <c r="F10" s="9" t="s">
        <v>57</v>
      </c>
      <c r="G10" s="5" t="s">
        <v>58</v>
      </c>
      <c r="H10" s="7" t="s">
        <v>61</v>
      </c>
      <c r="I10" s="7" t="s">
        <v>62</v>
      </c>
      <c r="J10" s="5">
        <v>120</v>
      </c>
      <c r="K10" s="2" t="s">
        <v>63</v>
      </c>
      <c r="L10" s="5" t="s">
        <v>64</v>
      </c>
      <c r="M10" s="27" t="e">
        <f t="shared" ca="1" si="3"/>
        <v>#NAME?</v>
      </c>
      <c r="N10" s="12" t="e">
        <f t="shared" ca="1" si="0"/>
        <v>#NAME?</v>
      </c>
      <c r="O10" s="9" t="s">
        <v>65</v>
      </c>
      <c r="P10" s="5" t="s">
        <v>66</v>
      </c>
      <c r="Q10" s="12" t="e">
        <f t="shared" ca="1" si="1"/>
        <v>#NAME?</v>
      </c>
      <c r="R10" s="12" t="e">
        <f t="shared" ca="1" si="2"/>
        <v>#NAME?</v>
      </c>
      <c r="S10" s="5">
        <v>42</v>
      </c>
      <c r="T10" s="9" t="s">
        <v>55</v>
      </c>
      <c r="U10" s="5" t="s">
        <v>56</v>
      </c>
      <c r="V10" s="12" t="s">
        <v>157</v>
      </c>
      <c r="W10" s="12" t="s">
        <v>158</v>
      </c>
      <c r="X10" s="5">
        <v>165</v>
      </c>
      <c r="Y10" s="9" t="s">
        <v>55</v>
      </c>
      <c r="Z10" s="5" t="s">
        <v>56</v>
      </c>
      <c r="AA10" s="12" t="s">
        <v>210</v>
      </c>
      <c r="AB10" s="12" t="s">
        <v>211</v>
      </c>
      <c r="AC10" s="3">
        <v>165</v>
      </c>
    </row>
    <row r="11" spans="1:29" ht="409.6" thickBot="1">
      <c r="A11" s="9" t="s">
        <v>67</v>
      </c>
      <c r="B11" s="5" t="s">
        <v>68</v>
      </c>
      <c r="C11" s="7" t="s">
        <v>69</v>
      </c>
      <c r="D11" s="7" t="s">
        <v>70</v>
      </c>
      <c r="E11" s="10">
        <v>25</v>
      </c>
      <c r="F11" s="25" t="s">
        <v>71</v>
      </c>
      <c r="G11" s="5" t="s">
        <v>72</v>
      </c>
      <c r="H11" s="7" t="s">
        <v>73</v>
      </c>
      <c r="I11" s="7" t="s">
        <v>74</v>
      </c>
      <c r="J11" s="5">
        <v>24</v>
      </c>
      <c r="K11" s="2" t="s">
        <v>55</v>
      </c>
      <c r="L11" s="5" t="s">
        <v>56</v>
      </c>
      <c r="M11" s="27" t="e">
        <f t="shared" ca="1" si="3"/>
        <v>#NAME?</v>
      </c>
      <c r="N11" s="12" t="e">
        <f t="shared" ca="1" si="0"/>
        <v>#NAME?</v>
      </c>
      <c r="O11" s="9" t="s">
        <v>75</v>
      </c>
      <c r="P11" s="5" t="s">
        <v>76</v>
      </c>
      <c r="Q11" s="12" t="e">
        <f t="shared" ca="1" si="1"/>
        <v>#NAME?</v>
      </c>
      <c r="R11" s="12" t="e">
        <f t="shared" ca="1" si="2"/>
        <v>#NAME?</v>
      </c>
      <c r="S11" s="5">
        <v>333</v>
      </c>
      <c r="T11" s="9" t="s">
        <v>75</v>
      </c>
      <c r="U11" s="5" t="s">
        <v>77</v>
      </c>
      <c r="V11" s="12" t="s">
        <v>159</v>
      </c>
      <c r="W11" s="12" t="s">
        <v>160</v>
      </c>
      <c r="X11" s="5">
        <v>325</v>
      </c>
      <c r="Y11" s="9" t="s">
        <v>75</v>
      </c>
      <c r="Z11" s="5" t="s">
        <v>76</v>
      </c>
      <c r="AA11" s="12" t="s">
        <v>212</v>
      </c>
      <c r="AB11" s="12" t="s">
        <v>213</v>
      </c>
      <c r="AC11" s="3">
        <v>333</v>
      </c>
    </row>
    <row r="12" spans="1:29" ht="329" thickBot="1">
      <c r="A12" s="9" t="s">
        <v>78</v>
      </c>
      <c r="B12" s="5" t="s">
        <v>79</v>
      </c>
      <c r="C12" s="7" t="s">
        <v>80</v>
      </c>
      <c r="D12" s="7" t="s">
        <v>81</v>
      </c>
      <c r="E12" s="10">
        <v>95</v>
      </c>
      <c r="F12" s="25"/>
      <c r="G12" s="5" t="s">
        <v>82</v>
      </c>
      <c r="H12" s="7">
        <v>0</v>
      </c>
      <c r="I12" s="7" t="s">
        <v>83</v>
      </c>
      <c r="J12" s="5">
        <v>66</v>
      </c>
      <c r="K12" s="2" t="s">
        <v>84</v>
      </c>
      <c r="L12" s="5" t="s">
        <v>85</v>
      </c>
      <c r="M12" s="27" t="e">
        <f t="shared" ca="1" si="3"/>
        <v>#NAME?</v>
      </c>
      <c r="N12" s="12" t="e">
        <f t="shared" ca="1" si="0"/>
        <v>#NAME?</v>
      </c>
      <c r="O12" s="9" t="s">
        <v>86</v>
      </c>
      <c r="P12" s="5" t="s">
        <v>64</v>
      </c>
      <c r="Q12" s="12" t="e">
        <f t="shared" ca="1" si="1"/>
        <v>#NAME?</v>
      </c>
      <c r="R12" s="12" t="e">
        <f t="shared" ca="1" si="2"/>
        <v>#NAME?</v>
      </c>
      <c r="S12" s="5">
        <v>343</v>
      </c>
      <c r="T12" s="9" t="s">
        <v>63</v>
      </c>
      <c r="U12" s="5" t="s">
        <v>64</v>
      </c>
      <c r="V12" s="12" t="s">
        <v>161</v>
      </c>
      <c r="W12" s="12" t="s">
        <v>162</v>
      </c>
      <c r="X12" s="5">
        <v>343</v>
      </c>
      <c r="Y12" s="9" t="s">
        <v>63</v>
      </c>
      <c r="Z12" s="5" t="s">
        <v>64</v>
      </c>
      <c r="AA12" s="12" t="s">
        <v>214</v>
      </c>
      <c r="AB12" s="12" t="s">
        <v>215</v>
      </c>
      <c r="AC12" s="3">
        <v>343</v>
      </c>
    </row>
    <row r="13" spans="1:29" ht="409.6" thickBot="1">
      <c r="A13" s="9" t="s">
        <v>87</v>
      </c>
      <c r="B13" s="5" t="s">
        <v>88</v>
      </c>
      <c r="C13" s="7" t="s">
        <v>89</v>
      </c>
      <c r="D13" s="7" t="s">
        <v>90</v>
      </c>
      <c r="E13" s="10">
        <v>0</v>
      </c>
      <c r="F13" s="9" t="s">
        <v>67</v>
      </c>
      <c r="G13" s="5" t="s">
        <v>68</v>
      </c>
      <c r="H13" s="7" t="s">
        <v>91</v>
      </c>
      <c r="I13" s="7" t="s">
        <v>92</v>
      </c>
      <c r="J13" s="5">
        <v>25</v>
      </c>
      <c r="K13" s="2" t="s">
        <v>35</v>
      </c>
      <c r="L13" s="5" t="s">
        <v>36</v>
      </c>
      <c r="M13" s="27" t="e">
        <f t="shared" ca="1" si="3"/>
        <v>#NAME?</v>
      </c>
      <c r="N13" s="12" t="e">
        <f t="shared" ca="1" si="0"/>
        <v>#NAME?</v>
      </c>
      <c r="O13" s="9" t="s">
        <v>35</v>
      </c>
      <c r="P13" s="5" t="s">
        <v>36</v>
      </c>
      <c r="Q13" s="12" t="e">
        <f t="shared" ca="1" si="1"/>
        <v>#NAME?</v>
      </c>
      <c r="R13" s="12" t="e">
        <f t="shared" ca="1" si="2"/>
        <v>#NAME?</v>
      </c>
      <c r="S13" s="5">
        <v>34</v>
      </c>
      <c r="T13" s="9" t="s">
        <v>93</v>
      </c>
      <c r="U13" s="5" t="s">
        <v>94</v>
      </c>
      <c r="V13" s="12" t="s">
        <v>163</v>
      </c>
      <c r="W13" s="12" t="s">
        <v>164</v>
      </c>
      <c r="X13" s="5">
        <v>780</v>
      </c>
      <c r="Y13" s="9" t="s">
        <v>93</v>
      </c>
      <c r="Z13" s="5" t="s">
        <v>94</v>
      </c>
      <c r="AA13" s="12" t="s">
        <v>216</v>
      </c>
      <c r="AB13" s="12" t="s">
        <v>217</v>
      </c>
      <c r="AC13" s="3">
        <v>780</v>
      </c>
    </row>
    <row r="14" spans="1:29" ht="409.6" thickBot="1">
      <c r="A14" s="9" t="s">
        <v>95</v>
      </c>
      <c r="B14" s="5" t="s">
        <v>96</v>
      </c>
      <c r="C14" s="7" t="s">
        <v>97</v>
      </c>
      <c r="D14" s="7" t="s">
        <v>98</v>
      </c>
      <c r="E14" s="10">
        <v>6.5</v>
      </c>
      <c r="F14" s="9" t="s">
        <v>87</v>
      </c>
      <c r="G14" s="5" t="s">
        <v>88</v>
      </c>
      <c r="H14" s="7" t="s">
        <v>89</v>
      </c>
      <c r="I14" s="7" t="s">
        <v>99</v>
      </c>
      <c r="J14" s="5">
        <v>0</v>
      </c>
      <c r="K14" s="2" t="s">
        <v>100</v>
      </c>
      <c r="L14" s="5" t="s">
        <v>46</v>
      </c>
      <c r="M14" s="27" t="e">
        <f t="shared" ca="1" si="3"/>
        <v>#NAME?</v>
      </c>
      <c r="N14" s="12" t="e">
        <f t="shared" ca="1" si="0"/>
        <v>#NAME?</v>
      </c>
      <c r="O14" s="9" t="s">
        <v>100</v>
      </c>
      <c r="P14" s="5" t="s">
        <v>50</v>
      </c>
      <c r="Q14" s="12" t="e">
        <f t="shared" ca="1" si="1"/>
        <v>#NAME?</v>
      </c>
      <c r="R14" s="12" t="e">
        <f t="shared" ca="1" si="2"/>
        <v>#NAME?</v>
      </c>
      <c r="S14" s="5">
        <v>290</v>
      </c>
      <c r="T14" s="9" t="s">
        <v>101</v>
      </c>
      <c r="U14" s="5" t="s">
        <v>102</v>
      </c>
      <c r="V14" s="12" t="s">
        <v>165</v>
      </c>
      <c r="W14" s="12" t="s">
        <v>166</v>
      </c>
      <c r="X14" s="5">
        <v>270</v>
      </c>
      <c r="Y14" s="9" t="s">
        <v>101</v>
      </c>
      <c r="Z14" s="5" t="s">
        <v>102</v>
      </c>
      <c r="AA14" s="12" t="s">
        <v>218</v>
      </c>
      <c r="AB14" s="12" t="s">
        <v>219</v>
      </c>
      <c r="AC14" s="3">
        <v>270</v>
      </c>
    </row>
    <row r="15" spans="1:29" ht="286" thickBot="1">
      <c r="A15" s="11"/>
      <c r="B15" s="12" t="s">
        <v>103</v>
      </c>
      <c r="C15" s="12"/>
      <c r="D15" s="12"/>
      <c r="E15" s="13">
        <v>631</v>
      </c>
      <c r="F15" s="9" t="s">
        <v>95</v>
      </c>
      <c r="G15" s="5" t="s">
        <v>96</v>
      </c>
      <c r="H15" s="7" t="s">
        <v>104</v>
      </c>
      <c r="I15" s="7" t="s">
        <v>105</v>
      </c>
      <c r="J15" s="5">
        <v>6.5</v>
      </c>
      <c r="K15" s="2"/>
      <c r="L15" s="5" t="s">
        <v>106</v>
      </c>
      <c r="M15" s="27" t="e">
        <f t="shared" ca="1" si="3"/>
        <v>#NAME?</v>
      </c>
      <c r="N15" s="12" t="e">
        <f t="shared" ca="1" si="0"/>
        <v>#NAME?</v>
      </c>
      <c r="O15" s="9"/>
      <c r="P15" s="5" t="s">
        <v>107</v>
      </c>
      <c r="Q15" s="12" t="e">
        <f t="shared" ca="1" si="1"/>
        <v>#NAME?</v>
      </c>
      <c r="R15" s="12" t="e">
        <f t="shared" ca="1" si="2"/>
        <v>#NAME?</v>
      </c>
      <c r="S15" s="5">
        <v>86</v>
      </c>
      <c r="T15" s="9" t="s">
        <v>108</v>
      </c>
      <c r="U15" s="5" t="s">
        <v>109</v>
      </c>
      <c r="V15" s="12" t="s">
        <v>167</v>
      </c>
      <c r="W15" s="12" t="s">
        <v>168</v>
      </c>
      <c r="X15" s="5">
        <v>250</v>
      </c>
      <c r="Y15" s="9" t="s">
        <v>108</v>
      </c>
      <c r="Z15" s="5" t="s">
        <v>109</v>
      </c>
      <c r="AA15" s="12" t="s">
        <v>220</v>
      </c>
      <c r="AB15" s="12" t="s">
        <v>221</v>
      </c>
      <c r="AC15" s="3">
        <v>250</v>
      </c>
    </row>
    <row r="16" spans="1:29" ht="315" thickBot="1">
      <c r="A16" s="14"/>
      <c r="B16" s="15"/>
      <c r="C16" s="15"/>
      <c r="D16" s="15"/>
      <c r="E16" s="16"/>
      <c r="F16" s="6"/>
      <c r="G16" s="7" t="s">
        <v>103</v>
      </c>
      <c r="H16" s="7"/>
      <c r="I16" s="7"/>
      <c r="J16" s="7">
        <v>726</v>
      </c>
      <c r="K16" s="2"/>
      <c r="L16" s="5" t="s">
        <v>110</v>
      </c>
      <c r="M16" s="27" t="e">
        <f t="shared" ca="1" si="3"/>
        <v>#NAME?</v>
      </c>
      <c r="N16" s="12" t="e">
        <f t="shared" ca="1" si="0"/>
        <v>#NAME?</v>
      </c>
      <c r="O16" s="9"/>
      <c r="P16" s="5" t="s">
        <v>106</v>
      </c>
      <c r="Q16" s="12" t="e">
        <f t="shared" ca="1" si="1"/>
        <v>#NAME?</v>
      </c>
      <c r="R16" s="12" t="e">
        <f t="shared" ca="1" si="2"/>
        <v>#NAME?</v>
      </c>
      <c r="S16" s="5">
        <v>86</v>
      </c>
      <c r="T16" s="9" t="s">
        <v>111</v>
      </c>
      <c r="U16" s="5" t="s">
        <v>112</v>
      </c>
      <c r="V16" s="12" t="s">
        <v>169</v>
      </c>
      <c r="W16" s="12" t="s">
        <v>170</v>
      </c>
      <c r="X16" s="5">
        <v>720</v>
      </c>
      <c r="Y16" s="9" t="s">
        <v>111</v>
      </c>
      <c r="Z16" s="5" t="s">
        <v>112</v>
      </c>
      <c r="AA16" s="12" t="s">
        <v>222</v>
      </c>
      <c r="AB16" s="12" t="s">
        <v>223</v>
      </c>
      <c r="AC16" s="3">
        <v>720</v>
      </c>
    </row>
    <row r="17" spans="11:29" ht="211" thickBot="1">
      <c r="K17" s="2" t="s">
        <v>113</v>
      </c>
      <c r="L17" s="5" t="s">
        <v>114</v>
      </c>
      <c r="M17" s="27" t="e">
        <f t="shared" ca="1" si="3"/>
        <v>#NAME?</v>
      </c>
      <c r="N17" s="12" t="e">
        <f t="shared" ca="1" si="0"/>
        <v>#NAME?</v>
      </c>
      <c r="O17" s="9" t="s">
        <v>71</v>
      </c>
      <c r="P17" s="5" t="s">
        <v>115</v>
      </c>
      <c r="Q17" s="12" t="e">
        <f t="shared" ca="1" si="1"/>
        <v>#NAME?</v>
      </c>
      <c r="R17" s="12" t="e">
        <f t="shared" ca="1" si="2"/>
        <v>#NAME?</v>
      </c>
      <c r="S17" s="5">
        <v>230</v>
      </c>
      <c r="T17" s="9" t="s">
        <v>116</v>
      </c>
      <c r="U17" s="5" t="s">
        <v>68</v>
      </c>
      <c r="V17" s="12" t="s">
        <v>91</v>
      </c>
      <c r="W17" s="12" t="s">
        <v>171</v>
      </c>
      <c r="X17" s="5">
        <v>25</v>
      </c>
      <c r="Y17" s="9" t="s">
        <v>116</v>
      </c>
      <c r="Z17" s="5" t="s">
        <v>68</v>
      </c>
      <c r="AA17" s="12" t="s">
        <v>91</v>
      </c>
      <c r="AB17" s="12" t="s">
        <v>224</v>
      </c>
      <c r="AC17" s="3">
        <v>25</v>
      </c>
    </row>
    <row r="18" spans="11:29" ht="409.6" thickBot="1">
      <c r="K18" s="2" t="s">
        <v>116</v>
      </c>
      <c r="L18" s="5" t="s">
        <v>68</v>
      </c>
      <c r="M18" s="27" t="e">
        <f t="shared" ca="1" si="3"/>
        <v>#NAME?</v>
      </c>
      <c r="N18" s="12" t="e">
        <f t="shared" ca="1" si="0"/>
        <v>#NAME?</v>
      </c>
      <c r="O18" s="9"/>
      <c r="P18" s="5" t="s">
        <v>117</v>
      </c>
      <c r="Q18" s="12" t="e">
        <f t="shared" ca="1" si="1"/>
        <v>#NAME?</v>
      </c>
      <c r="R18" s="12" t="e">
        <f t="shared" ca="1" si="2"/>
        <v>#NAME?</v>
      </c>
      <c r="S18" s="5">
        <v>299.60000000000002</v>
      </c>
      <c r="T18" s="9" t="s">
        <v>118</v>
      </c>
      <c r="U18" s="5" t="s">
        <v>119</v>
      </c>
      <c r="V18" s="12" t="s">
        <v>172</v>
      </c>
      <c r="W18" s="12" t="s">
        <v>173</v>
      </c>
      <c r="X18" s="5">
        <v>200</v>
      </c>
      <c r="Y18" s="9" t="s">
        <v>120</v>
      </c>
      <c r="Z18" s="5" t="s">
        <v>121</v>
      </c>
      <c r="AA18" s="12" t="s">
        <v>225</v>
      </c>
      <c r="AB18" s="12" t="s">
        <v>226</v>
      </c>
      <c r="AC18" s="3">
        <v>380</v>
      </c>
    </row>
    <row r="19" spans="11:29" ht="409.6" thickBot="1">
      <c r="K19" s="2" t="s">
        <v>122</v>
      </c>
      <c r="L19" s="5" t="s">
        <v>123</v>
      </c>
      <c r="M19" s="27" t="e">
        <f t="shared" ca="1" si="3"/>
        <v>#NAME?</v>
      </c>
      <c r="N19" s="12" t="e">
        <f t="shared" ca="1" si="0"/>
        <v>#NAME?</v>
      </c>
      <c r="O19" s="9" t="s">
        <v>122</v>
      </c>
      <c r="P19" s="5" t="s">
        <v>123</v>
      </c>
      <c r="Q19" s="12" t="e">
        <f t="shared" ca="1" si="1"/>
        <v>#NAME?</v>
      </c>
      <c r="R19" s="12" t="e">
        <f t="shared" ca="1" si="2"/>
        <v>#NAME?</v>
      </c>
      <c r="S19" s="5">
        <v>210</v>
      </c>
      <c r="T19" s="9" t="s">
        <v>120</v>
      </c>
      <c r="U19" s="5" t="s">
        <v>121</v>
      </c>
      <c r="V19" s="12" t="s">
        <v>174</v>
      </c>
      <c r="W19" s="12" t="s">
        <v>175</v>
      </c>
      <c r="X19" s="5">
        <v>380</v>
      </c>
      <c r="Y19" s="9" t="s">
        <v>118</v>
      </c>
      <c r="Z19" s="5" t="s">
        <v>119</v>
      </c>
      <c r="AA19" s="12" t="s">
        <v>227</v>
      </c>
      <c r="AB19" s="12" t="s">
        <v>228</v>
      </c>
      <c r="AC19" s="3">
        <v>200</v>
      </c>
    </row>
    <row r="20" spans="11:29" ht="371" thickBot="1">
      <c r="K20" s="2" t="s">
        <v>124</v>
      </c>
      <c r="L20" s="5" t="s">
        <v>125</v>
      </c>
      <c r="M20" s="27" t="e">
        <f t="shared" ca="1" si="3"/>
        <v>#NAME?</v>
      </c>
      <c r="N20" s="12" t="e">
        <f t="shared" ca="1" si="0"/>
        <v>#NAME?</v>
      </c>
      <c r="O20" s="9" t="s">
        <v>113</v>
      </c>
      <c r="P20" s="5" t="s">
        <v>114</v>
      </c>
      <c r="Q20" s="12" t="e">
        <f t="shared" ca="1" si="1"/>
        <v>#NAME?</v>
      </c>
      <c r="R20" s="12" t="e">
        <f t="shared" ca="1" si="2"/>
        <v>#NAME?</v>
      </c>
      <c r="S20" s="5">
        <v>80</v>
      </c>
      <c r="T20" s="9" t="s">
        <v>35</v>
      </c>
      <c r="U20" s="5" t="s">
        <v>36</v>
      </c>
      <c r="V20" s="12" t="s">
        <v>39</v>
      </c>
      <c r="W20" s="12" t="s">
        <v>176</v>
      </c>
      <c r="X20" s="5">
        <v>34</v>
      </c>
      <c r="Y20" s="9" t="s">
        <v>35</v>
      </c>
      <c r="Z20" s="5" t="s">
        <v>36</v>
      </c>
      <c r="AA20" s="12" t="s">
        <v>37</v>
      </c>
      <c r="AB20" s="12" t="s">
        <v>229</v>
      </c>
      <c r="AC20" s="3">
        <v>34</v>
      </c>
    </row>
    <row r="21" spans="11:29" ht="409.6" thickBot="1">
      <c r="K21" s="2" t="s">
        <v>126</v>
      </c>
      <c r="L21" s="5" t="s">
        <v>127</v>
      </c>
      <c r="M21" s="27" t="e">
        <f t="shared" ca="1" si="3"/>
        <v>#NAME?</v>
      </c>
      <c r="N21" s="12" t="e">
        <f t="shared" ca="1" si="0"/>
        <v>#NAME?</v>
      </c>
      <c r="O21" s="9" t="s">
        <v>116</v>
      </c>
      <c r="P21" s="5" t="s">
        <v>68</v>
      </c>
      <c r="Q21" s="12" t="e">
        <f t="shared" ca="1" si="1"/>
        <v>#NAME?</v>
      </c>
      <c r="R21" s="12" t="e">
        <f t="shared" ca="1" si="2"/>
        <v>#NAME?</v>
      </c>
      <c r="S21" s="5">
        <v>25</v>
      </c>
      <c r="T21" s="9" t="s">
        <v>100</v>
      </c>
      <c r="U21" s="5" t="s">
        <v>46</v>
      </c>
      <c r="V21" s="12" t="s">
        <v>177</v>
      </c>
      <c r="W21" s="12" t="s">
        <v>178</v>
      </c>
      <c r="X21" s="5">
        <v>190</v>
      </c>
      <c r="Y21" s="9" t="s">
        <v>100</v>
      </c>
      <c r="Z21" s="5" t="s">
        <v>50</v>
      </c>
      <c r="AA21" s="12" t="s">
        <v>230</v>
      </c>
      <c r="AB21" s="12" t="s">
        <v>231</v>
      </c>
      <c r="AC21" s="3">
        <v>290</v>
      </c>
    </row>
    <row r="22" spans="11:29" ht="371" thickBot="1">
      <c r="K22" s="2" t="s">
        <v>78</v>
      </c>
      <c r="L22" s="5" t="s">
        <v>79</v>
      </c>
      <c r="M22" s="27" t="e">
        <f t="shared" ca="1" si="3"/>
        <v>#NAME?</v>
      </c>
      <c r="N22" s="12" t="e">
        <f t="shared" ca="1" si="0"/>
        <v>#NAME?</v>
      </c>
      <c r="O22" s="9" t="s">
        <v>124</v>
      </c>
      <c r="P22" s="5" t="s">
        <v>125</v>
      </c>
      <c r="Q22" s="12" t="e">
        <f t="shared" ca="1" si="1"/>
        <v>#NAME?</v>
      </c>
      <c r="R22" s="12" t="e">
        <f t="shared" ca="1" si="2"/>
        <v>#NAME?</v>
      </c>
      <c r="S22" s="5">
        <v>180</v>
      </c>
      <c r="T22" s="9"/>
      <c r="U22" s="5" t="s">
        <v>106</v>
      </c>
      <c r="V22" s="12">
        <v>0</v>
      </c>
      <c r="W22" s="12" t="s">
        <v>179</v>
      </c>
      <c r="X22" s="5">
        <v>86</v>
      </c>
      <c r="Y22" s="9"/>
      <c r="Z22" s="5" t="s">
        <v>107</v>
      </c>
      <c r="AA22" s="12">
        <v>0</v>
      </c>
      <c r="AB22" s="12" t="s">
        <v>232</v>
      </c>
      <c r="AC22" s="3">
        <v>86</v>
      </c>
    </row>
    <row r="23" spans="11:29" ht="409.6" thickBot="1">
      <c r="K23" s="2" t="s">
        <v>128</v>
      </c>
      <c r="L23" s="5" t="s">
        <v>129</v>
      </c>
      <c r="M23" s="27" t="e">
        <f t="shared" ca="1" si="3"/>
        <v>#NAME?</v>
      </c>
      <c r="N23" s="12" t="e">
        <f t="shared" ca="1" si="0"/>
        <v>#NAME?</v>
      </c>
      <c r="O23" s="9" t="s">
        <v>130</v>
      </c>
      <c r="P23" s="5" t="s">
        <v>127</v>
      </c>
      <c r="Q23" s="12" t="e">
        <f t="shared" ca="1" si="1"/>
        <v>#NAME?</v>
      </c>
      <c r="R23" s="12" t="e">
        <f t="shared" ca="1" si="2"/>
        <v>#NAME?</v>
      </c>
      <c r="S23" s="5">
        <v>252.96</v>
      </c>
      <c r="T23" s="9"/>
      <c r="U23" s="5" t="s">
        <v>131</v>
      </c>
      <c r="V23" s="12">
        <v>0</v>
      </c>
      <c r="W23" s="12" t="s">
        <v>180</v>
      </c>
      <c r="X23" s="5">
        <v>213</v>
      </c>
      <c r="Y23" s="9"/>
      <c r="Z23" s="5" t="s">
        <v>106</v>
      </c>
      <c r="AA23" s="12">
        <v>0</v>
      </c>
      <c r="AB23" s="12" t="s">
        <v>233</v>
      </c>
      <c r="AC23" s="3">
        <v>86</v>
      </c>
    </row>
    <row r="24" spans="11:29" ht="409.6" thickBot="1">
      <c r="K24" s="2" t="s">
        <v>132</v>
      </c>
      <c r="L24" s="5" t="s">
        <v>133</v>
      </c>
      <c r="M24" s="27" t="e">
        <f t="shared" ca="1" si="3"/>
        <v>#NAME?</v>
      </c>
      <c r="N24" s="12" t="e">
        <f t="shared" ca="1" si="0"/>
        <v>#NAME?</v>
      </c>
      <c r="O24" s="9" t="s">
        <v>78</v>
      </c>
      <c r="P24" s="5" t="s">
        <v>79</v>
      </c>
      <c r="Q24" s="12" t="e">
        <f t="shared" ca="1" si="1"/>
        <v>#NAME?</v>
      </c>
      <c r="R24" s="12" t="e">
        <f t="shared" ca="1" si="2"/>
        <v>#NAME?</v>
      </c>
      <c r="S24" s="5">
        <v>95</v>
      </c>
      <c r="T24" s="9"/>
      <c r="U24" s="5" t="s">
        <v>110</v>
      </c>
      <c r="V24" s="12">
        <v>0</v>
      </c>
      <c r="W24" s="12" t="s">
        <v>181</v>
      </c>
      <c r="X24" s="5">
        <v>227</v>
      </c>
      <c r="Y24" s="9"/>
      <c r="Z24" s="5" t="s">
        <v>131</v>
      </c>
      <c r="AA24" s="12">
        <v>0</v>
      </c>
      <c r="AB24" s="12" t="s">
        <v>234</v>
      </c>
      <c r="AC24" s="3">
        <v>213</v>
      </c>
    </row>
    <row r="25" spans="11:29" ht="409.6" thickBot="1">
      <c r="K25" s="2" t="s">
        <v>87</v>
      </c>
      <c r="L25" s="5" t="s">
        <v>88</v>
      </c>
      <c r="M25" s="27" t="e">
        <f t="shared" ca="1" si="3"/>
        <v>#NAME?</v>
      </c>
      <c r="N25" s="12" t="e">
        <f t="shared" ca="1" si="0"/>
        <v>#NAME?</v>
      </c>
      <c r="O25" s="9" t="s">
        <v>128</v>
      </c>
      <c r="P25" s="5" t="s">
        <v>129</v>
      </c>
      <c r="Q25" s="12" t="e">
        <f t="shared" ca="1" si="1"/>
        <v>#NAME?</v>
      </c>
      <c r="R25" s="12" t="e">
        <f t="shared" ca="1" si="2"/>
        <v>#NAME?</v>
      </c>
      <c r="S25" s="5">
        <v>120</v>
      </c>
      <c r="T25" s="9" t="s">
        <v>122</v>
      </c>
      <c r="U25" s="5" t="s">
        <v>123</v>
      </c>
      <c r="V25" s="12" t="s">
        <v>182</v>
      </c>
      <c r="W25" s="12" t="s">
        <v>183</v>
      </c>
      <c r="X25" s="5">
        <v>210</v>
      </c>
      <c r="Y25" s="9"/>
      <c r="Z25" s="5" t="s">
        <v>110</v>
      </c>
      <c r="AA25" s="12">
        <v>0</v>
      </c>
      <c r="AB25" s="12" t="s">
        <v>235</v>
      </c>
      <c r="AC25" s="3">
        <v>227</v>
      </c>
    </row>
    <row r="26" spans="11:29" ht="409.6" thickBot="1">
      <c r="K26" s="2" t="s">
        <v>95</v>
      </c>
      <c r="L26" s="5" t="s">
        <v>96</v>
      </c>
      <c r="M26" s="27" t="e">
        <f t="shared" ca="1" si="3"/>
        <v>#NAME?</v>
      </c>
      <c r="N26" s="12" t="e">
        <f t="shared" ca="1" si="0"/>
        <v>#NAME?</v>
      </c>
      <c r="O26" s="9" t="s">
        <v>132</v>
      </c>
      <c r="P26" s="5" t="s">
        <v>133</v>
      </c>
      <c r="Q26" s="12" t="e">
        <f t="shared" ca="1" si="1"/>
        <v>#NAME?</v>
      </c>
      <c r="R26" s="12" t="e">
        <f t="shared" ca="1" si="2"/>
        <v>#NAME?</v>
      </c>
      <c r="S26" s="5">
        <v>115</v>
      </c>
      <c r="T26" s="9" t="s">
        <v>130</v>
      </c>
      <c r="U26" s="5" t="s">
        <v>127</v>
      </c>
      <c r="V26" s="12" t="s">
        <v>184</v>
      </c>
      <c r="W26" s="12" t="s">
        <v>185</v>
      </c>
      <c r="X26" s="5">
        <v>252.96</v>
      </c>
      <c r="Y26" s="9" t="s">
        <v>122</v>
      </c>
      <c r="Z26" s="5" t="s">
        <v>135</v>
      </c>
      <c r="AA26" s="12" t="s">
        <v>236</v>
      </c>
      <c r="AB26" s="12" t="s">
        <v>237</v>
      </c>
      <c r="AC26" s="3">
        <v>210</v>
      </c>
    </row>
    <row r="27" spans="11:29" ht="409.6" thickBot="1">
      <c r="K27" s="1"/>
      <c r="L27" s="7" t="s">
        <v>136</v>
      </c>
      <c r="M27" s="29"/>
      <c r="N27" s="7"/>
      <c r="O27" s="9" t="s">
        <v>87</v>
      </c>
      <c r="P27" s="5" t="s">
        <v>88</v>
      </c>
      <c r="Q27" s="12" t="e">
        <f t="shared" ca="1" si="1"/>
        <v>#NAME?</v>
      </c>
      <c r="R27" s="12" t="e">
        <f t="shared" ca="1" si="2"/>
        <v>#NAME?</v>
      </c>
      <c r="S27" s="5" t="s">
        <v>134</v>
      </c>
      <c r="T27" s="9" t="s">
        <v>124</v>
      </c>
      <c r="U27" s="5" t="s">
        <v>125</v>
      </c>
      <c r="V27" s="12" t="s">
        <v>186</v>
      </c>
      <c r="W27" s="12" t="s">
        <v>187</v>
      </c>
      <c r="X27" s="5">
        <v>180</v>
      </c>
      <c r="Y27" s="9" t="s">
        <v>130</v>
      </c>
      <c r="Z27" s="5" t="s">
        <v>127</v>
      </c>
      <c r="AA27" s="12" t="s">
        <v>184</v>
      </c>
      <c r="AB27" s="12" t="s">
        <v>238</v>
      </c>
      <c r="AC27" s="3">
        <v>252.96</v>
      </c>
    </row>
    <row r="28" spans="11:29" ht="301" thickBot="1">
      <c r="O28" s="14" t="s">
        <v>95</v>
      </c>
      <c r="P28" s="15" t="s">
        <v>96</v>
      </c>
      <c r="Q28" s="12" t="e">
        <f t="shared" ca="1" si="1"/>
        <v>#NAME?</v>
      </c>
      <c r="R28" s="12" t="e">
        <f t="shared" ca="1" si="2"/>
        <v>#NAME?</v>
      </c>
      <c r="S28" s="15">
        <v>6.5</v>
      </c>
      <c r="T28" s="9" t="s">
        <v>137</v>
      </c>
      <c r="U28" s="5" t="s">
        <v>138</v>
      </c>
      <c r="V28" s="12" t="s">
        <v>188</v>
      </c>
      <c r="W28" s="12" t="s">
        <v>189</v>
      </c>
      <c r="X28" s="5">
        <v>260</v>
      </c>
      <c r="Y28" s="9" t="s">
        <v>124</v>
      </c>
      <c r="Z28" s="5" t="s">
        <v>125</v>
      </c>
      <c r="AA28" s="12" t="s">
        <v>239</v>
      </c>
      <c r="AB28" s="12" t="s">
        <v>240</v>
      </c>
      <c r="AC28" s="3">
        <v>180</v>
      </c>
    </row>
    <row r="29" spans="11:29" ht="409.6" thickBot="1">
      <c r="O29" s="6"/>
      <c r="P29" s="7" t="s">
        <v>136</v>
      </c>
      <c r="Q29" s="7"/>
      <c r="R29" s="7"/>
      <c r="S29" s="7">
        <v>3202.56</v>
      </c>
      <c r="T29" s="9" t="s">
        <v>139</v>
      </c>
      <c r="U29" s="5" t="s">
        <v>140</v>
      </c>
      <c r="V29" s="12" t="s">
        <v>190</v>
      </c>
      <c r="W29" s="12" t="s">
        <v>191</v>
      </c>
      <c r="X29" s="5">
        <v>100</v>
      </c>
      <c r="Y29" s="9" t="s">
        <v>71</v>
      </c>
      <c r="Z29" s="5" t="s">
        <v>115</v>
      </c>
      <c r="AA29" s="12" t="s">
        <v>241</v>
      </c>
      <c r="AB29" s="12" t="s">
        <v>242</v>
      </c>
      <c r="AC29" s="3">
        <v>230</v>
      </c>
    </row>
    <row r="30" spans="11:29" ht="409.6" thickBot="1">
      <c r="T30" s="9" t="s">
        <v>141</v>
      </c>
      <c r="U30" s="5" t="s">
        <v>133</v>
      </c>
      <c r="V30" s="12" t="s">
        <v>192</v>
      </c>
      <c r="W30" s="12" t="s">
        <v>193</v>
      </c>
      <c r="X30" s="5">
        <v>115</v>
      </c>
      <c r="Y30" s="9"/>
      <c r="Z30" s="5" t="s">
        <v>117</v>
      </c>
      <c r="AA30" s="12">
        <v>0</v>
      </c>
      <c r="AB30" s="12" t="s">
        <v>243</v>
      </c>
      <c r="AC30" s="3">
        <v>299.60000000000002</v>
      </c>
    </row>
    <row r="31" spans="11:29" ht="409.6" thickBot="1">
      <c r="T31" s="9" t="s">
        <v>142</v>
      </c>
      <c r="U31" s="5" t="s">
        <v>143</v>
      </c>
      <c r="V31" s="12" t="s">
        <v>194</v>
      </c>
      <c r="W31" s="12" t="s">
        <v>195</v>
      </c>
      <c r="X31" s="5">
        <v>60</v>
      </c>
      <c r="Y31" s="9" t="s">
        <v>139</v>
      </c>
      <c r="Z31" s="5" t="s">
        <v>140</v>
      </c>
      <c r="AA31" s="12" t="s">
        <v>190</v>
      </c>
      <c r="AB31" s="12" t="s">
        <v>244</v>
      </c>
      <c r="AC31" s="3">
        <v>100</v>
      </c>
    </row>
    <row r="32" spans="11:29" ht="256" thickBot="1">
      <c r="T32" s="9" t="s">
        <v>87</v>
      </c>
      <c r="U32" s="5" t="s">
        <v>88</v>
      </c>
      <c r="V32" s="12" t="s">
        <v>89</v>
      </c>
      <c r="W32" s="12" t="s">
        <v>196</v>
      </c>
      <c r="X32" s="5">
        <v>0</v>
      </c>
      <c r="Y32" s="9" t="s">
        <v>141</v>
      </c>
      <c r="Z32" s="5" t="s">
        <v>133</v>
      </c>
      <c r="AA32" s="12" t="s">
        <v>192</v>
      </c>
      <c r="AB32" s="12" t="s">
        <v>245</v>
      </c>
      <c r="AC32" s="3">
        <v>115</v>
      </c>
    </row>
    <row r="33" spans="20:29" ht="226" thickBot="1">
      <c r="T33" s="14" t="s">
        <v>95</v>
      </c>
      <c r="U33" s="15" t="s">
        <v>96</v>
      </c>
      <c r="V33" s="12" t="s">
        <v>197</v>
      </c>
      <c r="W33" s="12" t="s">
        <v>105</v>
      </c>
      <c r="X33" s="15">
        <v>6.5</v>
      </c>
      <c r="Y33" s="9" t="s">
        <v>142</v>
      </c>
      <c r="Z33" s="5" t="s">
        <v>143</v>
      </c>
      <c r="AA33" s="12" t="s">
        <v>194</v>
      </c>
      <c r="AB33" s="12" t="s">
        <v>246</v>
      </c>
      <c r="AC33" s="3">
        <v>60</v>
      </c>
    </row>
    <row r="34" spans="20:29" ht="91" thickBot="1">
      <c r="T34" s="6"/>
      <c r="U34" s="7" t="s">
        <v>136</v>
      </c>
      <c r="V34" s="7"/>
      <c r="W34" s="7"/>
      <c r="X34" s="7">
        <v>5637.96</v>
      </c>
      <c r="Y34" s="9" t="s">
        <v>87</v>
      </c>
      <c r="Z34" s="5" t="s">
        <v>88</v>
      </c>
      <c r="AA34" s="12" t="s">
        <v>89</v>
      </c>
      <c r="AB34" s="12" t="s">
        <v>247</v>
      </c>
      <c r="AC34" s="3">
        <v>0</v>
      </c>
    </row>
    <row r="35" spans="20:29" ht="61" thickBot="1">
      <c r="Y35" s="14" t="s">
        <v>95</v>
      </c>
      <c r="Z35" s="15" t="s">
        <v>96</v>
      </c>
      <c r="AA35" s="12" t="s">
        <v>97</v>
      </c>
      <c r="AB35" s="12" t="s">
        <v>248</v>
      </c>
      <c r="AC35" s="4">
        <v>6.5</v>
      </c>
    </row>
    <row r="36" spans="20:29" ht="16" thickBot="1">
      <c r="Y36" s="6"/>
      <c r="Z36" s="7" t="s">
        <v>136</v>
      </c>
      <c r="AA36" s="7"/>
      <c r="AB36" s="7"/>
      <c r="AC36" s="8">
        <v>6101.56</v>
      </c>
    </row>
  </sheetData>
  <mergeCells count="11">
    <mergeCell ref="F11:F12"/>
    <mergeCell ref="Z6:Z7"/>
    <mergeCell ref="A1:J1"/>
    <mergeCell ref="K1:S1"/>
    <mergeCell ref="T1:AC1"/>
    <mergeCell ref="A2:E2"/>
    <mergeCell ref="F2:J2"/>
    <mergeCell ref="K2:N2"/>
    <mergeCell ref="O2:S2"/>
    <mergeCell ref="T2:X2"/>
    <mergeCell ref="Y2:AC2"/>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体检3个产品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金毛糖油果子</dc:creator>
  <cp:lastModifiedBy>Jordan Zhuang</cp:lastModifiedBy>
  <dcterms:created xsi:type="dcterms:W3CDTF">2025-06-20T14:48:00Z</dcterms:created>
  <dcterms:modified xsi:type="dcterms:W3CDTF">2026-01-02T03:52:56Z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A3674C04CFB148A9BD085F426D0665DE_13</vt:lpwstr>
  </property>
  <property fmtid="{D5CDD505-2E9C-101B-9397-08002B2CF9AE}" pid="3" name="KSOProductBuildVer">
    <vt:lpwstr>2052-12.1.0.22529</vt:lpwstr>
  </property>
</Properties>
</file>