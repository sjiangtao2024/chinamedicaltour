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P Services" sheetId="1" r:id="rId1"/>
    <sheet name="Sour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8.83203125" customWidth="1"/>
    <col min="2" max="2" width="28.83203125" customWidth="1"/>
    <col min="3" max="3" width="36.83203125" customWidth="1"/>
    <col min="4" max="4" width="72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  <col min="9" max="9" width="40.83203125" customWidth="1"/>
  </cols>
  <sheetData>
    <row r="1">
      <c r="A1" t="str">
        <v>Stage</v>
      </c>
      <c r="B1" t="str">
        <v>Stage Title</v>
      </c>
      <c r="C1" t="str">
        <v>Service</v>
      </c>
      <c r="D1" t="str">
        <v>Description</v>
      </c>
      <c r="E1" t="str">
        <v>USD Price</v>
      </c>
      <c r="F1" t="str">
        <v>Unit</v>
      </c>
      <c r="G1" t="str">
        <v>Required</v>
      </c>
      <c r="H1" t="str">
        <v>Required When</v>
      </c>
      <c r="I1" t="str">
        <v>Note</v>
      </c>
    </row>
    <row r="2">
      <c r="A2">
        <v>1</v>
      </c>
      <c r="B2" t="str">
        <v>Pre-Arrival Phase</v>
      </c>
      <c r="C2" t="str">
        <v>Initial Consultation</v>
      </c>
      <c r="D2" t="str">
        <v>Needs assessment, trust building, and basic guidance (non-medical advice).</v>
      </c>
      <c r="E2">
        <f>Source!G5</f>
      </c>
      <c r="F2" t="str">
        <v/>
      </c>
      <c r="G2" t="str">
        <v>Yes</v>
      </c>
      <c r="H2" t="str">
        <v/>
      </c>
      <c r="I2" t="str">
        <v/>
      </c>
    </row>
    <row r="3">
      <c r="A3">
        <v>1</v>
      </c>
      <c r="B3" t="str">
        <v>Pre-Arrival Phase</v>
      </c>
      <c r="C3" t="str">
        <v>Inbound Medical Records Translation</v>
      </c>
      <c r="D3" t="str">
        <v>Translate overseas medical records and imaging into a Chinese medical summary.</v>
      </c>
      <c r="E3">
        <f>Source!G6</f>
      </c>
      <c r="F3" t="str">
        <v/>
      </c>
      <c r="G3" t="str">
        <v>Yes</v>
      </c>
      <c r="H3" t="str">
        <v/>
      </c>
      <c r="I3" t="str">
        <v/>
      </c>
    </row>
    <row r="4">
      <c r="A4">
        <v>1</v>
      </c>
      <c r="B4" t="str">
        <v>Pre-Arrival Phase</v>
      </c>
      <c r="C4" t="str">
        <v>Remote Expert Pre-diagnosis</v>
      </c>
      <c r="D4" t="str">
        <v>Preliminary plan and estimate from a top-tier specialist using translated records.</v>
      </c>
      <c r="E4">
        <f>Source!G7</f>
      </c>
      <c r="F4" t="str">
        <v/>
      </c>
      <c r="G4" t="str">
        <v>Yes</v>
      </c>
      <c r="H4" t="str">
        <v/>
      </c>
      <c r="I4" t="str">
        <v/>
      </c>
    </row>
    <row r="5">
      <c r="A5">
        <v>1</v>
      </c>
      <c r="B5" t="str">
        <v>Pre-Arrival Phase</v>
      </c>
      <c r="C5" t="str">
        <v>Visa / Invitation Letter</v>
      </c>
      <c r="D5" t="str">
        <v>Hospital coordination and deposit handling for official medical invitation.</v>
      </c>
      <c r="E5">
        <f>Source!G8</f>
      </c>
      <c r="F5" t="str">
        <v/>
      </c>
      <c r="G5" t="str">
        <v>No</v>
      </c>
      <c r="H5" t="str">
        <v/>
      </c>
      <c r="I5" t="str">
        <v/>
      </c>
    </row>
    <row r="6">
      <c r="A6">
        <v>1</v>
      </c>
      <c r="B6" t="str">
        <v>Pre-Arrival Phase</v>
      </c>
      <c r="C6" t="str">
        <v>Itinerary &amp; App Guidance</v>
      </c>
      <c r="D6" t="str">
        <v>Day-by-day itinerary plus setup guidance for Alipay/WeChat.</v>
      </c>
      <c r="E6">
        <f>Source!G9</f>
      </c>
      <c r="F6" t="str">
        <v/>
      </c>
      <c r="G6" t="str">
        <v>No</v>
      </c>
      <c r="H6" t="str">
        <v/>
      </c>
      <c r="I6" t="str">
        <v/>
      </c>
    </row>
    <row r="7">
      <c r="A7">
        <v>1</v>
      </c>
      <c r="B7" t="str">
        <v>Pre-Arrival Phase</v>
      </c>
      <c r="C7" t="str">
        <v>Travel Planning</v>
      </c>
      <c r="D7" t="str">
        <v>Helping client to plan the medical trip. Booking doctor’s appointment, lock hospital’s resources.</v>
      </c>
      <c r="E7">
        <f>Source!G10</f>
      </c>
      <c r="F7" t="str">
        <v/>
      </c>
      <c r="G7" t="str">
        <v>Yes</v>
      </c>
      <c r="H7" t="str">
        <v/>
      </c>
      <c r="I7" t="str">
        <v>Required planning fee applied to the VIP planning phase.</v>
      </c>
    </row>
    <row r="8">
      <c r="A8">
        <v>2</v>
      </c>
      <c r="B8" t="str">
        <v>Arrival &amp; Logistics</v>
      </c>
      <c r="C8" t="str">
        <v>VIP Airport Pickup</v>
      </c>
      <c r="D8" t="str">
        <v>Premium vehicle pickup (GL8 / Mercedes V-class) to hotel.</v>
      </c>
      <c r="E8">
        <f>Source!G11</f>
      </c>
      <c r="F8" t="str">
        <v/>
      </c>
      <c r="G8" t="str">
        <v>No</v>
      </c>
      <c r="H8" t="str">
        <v/>
      </c>
      <c r="I8" t="str">
        <v/>
      </c>
    </row>
    <row r="9">
      <c r="A9">
        <v>2</v>
      </c>
      <c r="B9" t="str">
        <v>Arrival &amp; Logistics</v>
      </c>
      <c r="C9" t="str">
        <v>Pocket Wi-Fi</v>
      </c>
      <c r="D9" t="str">
        <v>Portable Wi-Fi device for immediate connectivity.</v>
      </c>
      <c r="E9">
        <f>Source!G12</f>
      </c>
      <c r="F9" t="str">
        <v/>
      </c>
      <c r="G9" t="str">
        <v>Yes</v>
      </c>
      <c r="H9" t="str">
        <v/>
      </c>
      <c r="I9" t="str">
        <v/>
      </c>
    </row>
    <row r="10">
      <c r="A10">
        <v>2</v>
      </c>
      <c r="B10" t="str">
        <v>Arrival &amp; Logistics</v>
      </c>
      <c r="C10" t="str">
        <v>Accommodation Arrangement</v>
      </c>
      <c r="D10" t="str">
        <v>Five-night premium hotel or serviced apartment coordination.</v>
      </c>
      <c r="E10">
        <f>Source!G13</f>
      </c>
      <c r="F10" t="str">
        <v/>
      </c>
      <c r="G10" t="str">
        <v>No</v>
      </c>
      <c r="H10" t="str">
        <v/>
      </c>
      <c r="I10" t="str">
        <v/>
      </c>
    </row>
    <row r="11">
      <c r="A11">
        <v>2</v>
      </c>
      <c r="B11" t="str">
        <v>Arrival &amp; Logistics</v>
      </c>
      <c r="C11" t="str">
        <v>Dedicated Driver</v>
      </c>
      <c r="D11" t="str">
        <v>Private vehicle with driver, fuel, tolls, and allowances included.</v>
      </c>
      <c r="E11">
        <f>Source!G14</f>
      </c>
      <c r="F11" t="str">
        <v/>
      </c>
      <c r="G11" t="str">
        <v>No</v>
      </c>
      <c r="H11" t="str">
        <v/>
      </c>
      <c r="I11" t="str">
        <v/>
      </c>
    </row>
    <row r="12">
      <c r="A12">
        <v>3</v>
      </c>
      <c r="B12" t="str">
        <v>Medical Execution</v>
      </c>
      <c r="C12" t="str">
        <v>Green Channel Management</v>
      </c>
      <c r="D12" t="str">
        <v>Priority access coordination for scarce specialist resources.</v>
      </c>
      <c r="E12">
        <f>Source!G15</f>
      </c>
      <c r="F12" t="str">
        <v/>
      </c>
      <c r="G12" t="str">
        <v>No</v>
      </c>
      <c r="H12" t="str">
        <v>surgery</v>
      </c>
      <c r="I12" t="str">
        <v>Required for surgical cases.</v>
      </c>
    </row>
    <row r="13">
      <c r="A13">
        <v>3</v>
      </c>
      <c r="B13" t="str">
        <v>Medical Execution</v>
      </c>
      <c r="C13" t="str">
        <v>Registration</v>
      </c>
      <c r="D13" t="str">
        <v>Hospital registration handling for appointments and access.</v>
      </c>
      <c r="E13">
        <f>Source!G16</f>
      </c>
      <c r="F13" t="str">
        <v/>
      </c>
      <c r="G13" t="str">
        <v>Yes</v>
      </c>
      <c r="H13" t="str">
        <v/>
      </c>
      <c r="I13" t="str">
        <v/>
      </c>
    </row>
    <row r="14">
      <c r="A14">
        <v>3</v>
      </c>
      <c r="B14" t="str">
        <v>Medical Execution</v>
      </c>
      <c r="C14" t="str">
        <v>Specimen / Report Runner</v>
      </c>
      <c r="D14" t="str">
        <v>Pick up paper reports, deliver pathology slides, or transport medication.</v>
      </c>
      <c r="E14">
        <f>Source!G17</f>
      </c>
      <c r="F14" t="str">
        <v/>
      </c>
      <c r="G14" t="str">
        <v>No</v>
      </c>
      <c r="H14" t="str">
        <v/>
      </c>
      <c r="I14" t="str">
        <v/>
      </c>
    </row>
    <row r="15">
      <c r="A15">
        <v>3</v>
      </c>
      <c r="B15" t="str">
        <v>Medical Execution</v>
      </c>
      <c r="C15" t="str">
        <v>Inpatient / Personal Care Assistant</v>
      </c>
      <c r="D15" t="str">
        <v>24-hour personal care assistant if hospitalization is required.</v>
      </c>
      <c r="E15">
        <f>Source!G18</f>
      </c>
      <c r="F15" t="str">
        <v>per day</v>
      </c>
      <c r="G15" t="str">
        <v>No</v>
      </c>
      <c r="H15" t="str">
        <v/>
      </c>
      <c r="I15" t="str">
        <v/>
      </c>
    </row>
    <row r="16">
      <c r="A16">
        <v>4</v>
      </c>
      <c r="B16" t="str">
        <v>Recovery &amp; Cultural Experience</v>
      </c>
      <c r="C16" t="str">
        <v>Acupuncture or Massage</v>
      </c>
      <c r="D16" t="str">
        <v>Wellness-focused TCM experience for recovery and relaxation.</v>
      </c>
      <c r="E16">
        <f>Source!G19</f>
      </c>
      <c r="F16" t="str">
        <v/>
      </c>
      <c r="G16" t="str">
        <v>No</v>
      </c>
      <c r="H16" t="str">
        <v/>
      </c>
      <c r="I16" t="str">
        <v/>
      </c>
    </row>
    <row r="17">
      <c r="A17">
        <v>4</v>
      </c>
      <c r="B17" t="str">
        <v>Recovery &amp; Cultural Experience</v>
      </c>
      <c r="C17" t="str">
        <v>Dining Reservations</v>
      </c>
      <c r="D17" t="str">
        <v>Recovery-friendly dining reservations (medicinal cuisine or premium dining).</v>
      </c>
      <c r="E17">
        <f>Source!G20</f>
      </c>
      <c r="F17" t="str">
        <v>per person</v>
      </c>
      <c r="G17" t="str">
        <v>No</v>
      </c>
      <c r="H17" t="str">
        <v/>
      </c>
      <c r="I17" t="str">
        <v/>
      </c>
    </row>
    <row r="18">
      <c r="A18">
        <v>5</v>
      </c>
      <c r="B18" t="str">
        <v>Departure &amp; Follow-up</v>
      </c>
      <c r="C18" t="str">
        <v>Discharge Summary / Surgery Record / Pathology Report Translation</v>
      </c>
      <c r="D18" t="str">
        <v>Translate key medical records for post-visit use abroad.</v>
      </c>
      <c r="E18">
        <f>Source!G21</f>
      </c>
      <c r="F18" t="str">
        <v/>
      </c>
      <c r="G18" t="str">
        <v>Yes</v>
      </c>
      <c r="H18" t="str">
        <v/>
      </c>
      <c r="I18" t="str">
        <v/>
      </c>
    </row>
    <row r="19">
      <c r="A19">
        <v>6</v>
      </c>
      <c r="B19" t="str">
        <v>Post-op / Post-illness Follow-up</v>
      </c>
      <c r="C19" t="str">
        <v>Follow-up Reminder &amp; Prep (Lite)</v>
      </c>
      <c r="D19" t="str">
        <v>Lightweight follow-up reminders plus a structured question checklist.</v>
      </c>
      <c r="E19">
        <f>Source!G22</f>
      </c>
      <c r="F19" t="str">
        <v>per session</v>
      </c>
      <c r="G19" t="str">
        <v>No</v>
      </c>
      <c r="H19" t="str">
        <v/>
      </c>
      <c r="I19" t="str">
        <v>Includes one reminder cycle and a structured checklist.</v>
      </c>
    </row>
    <row r="20">
      <c r="A20">
        <v>6</v>
      </c>
      <c r="B20" t="str">
        <v>Post-op / Post-illness Follow-up</v>
      </c>
      <c r="C20" t="str">
        <v>Results Follow-up &amp; Summary</v>
      </c>
      <c r="D20" t="str">
        <v>Collect, organize, and relay test results with a concise summary for review.</v>
      </c>
      <c r="E20">
        <f>Source!G23</f>
      </c>
      <c r="F20" t="str">
        <v>per session</v>
      </c>
      <c r="G20" t="str">
        <v>No</v>
      </c>
      <c r="H20" t="str">
        <v/>
      </c>
      <c r="I20" t="str">
        <v>Includes up to 1 results package with summary delivery.</v>
      </c>
    </row>
    <row r="21">
      <c r="A21">
        <v>6</v>
      </c>
      <c r="B21" t="str">
        <v>Post-op / Post-illness Follow-up</v>
      </c>
      <c r="C21" t="str">
        <v>Specialist Follow-up Coordination</v>
      </c>
      <c r="D21" t="str">
        <v>Schedule a follow-up consultation and deliver a post-visit brief.</v>
      </c>
      <c r="E21">
        <f>Source!G24</f>
      </c>
      <c r="F21" t="str">
        <v>per session</v>
      </c>
      <c r="G21" t="str">
        <v>No</v>
      </c>
      <c r="H21" t="str">
        <v/>
      </c>
      <c r="I21" t="str">
        <v>Includes scheduling + post-visit brief. Specialist fees billed separately.</v>
      </c>
    </row>
    <row r="22">
      <c r="A22">
        <v>6</v>
      </c>
      <c r="B22" t="str">
        <v>Post-op / Post-illness Follow-up</v>
      </c>
      <c r="C22" t="str">
        <v>30-Day Care Tracking</v>
      </c>
      <c r="D22" t="str">
        <v>Two results follow-ups plus one specialist coordination with a timeline summary.</v>
      </c>
      <c r="E22">
        <f>Source!G25</f>
      </c>
      <c r="F22" t="str">
        <v>per 30 days</v>
      </c>
      <c r="G22" t="str">
        <v>No</v>
      </c>
      <c r="H22" t="str">
        <v/>
      </c>
      <c r="I22" t="str">
        <v>Includes 2 results follow-ups + 1 specialist coordination.</v>
      </c>
    </row>
    <row r="23">
      <c r="A23">
        <v>6</v>
      </c>
      <c r="B23" t="str">
        <v>Post-op / Post-illness Follow-up</v>
      </c>
      <c r="C23" t="str">
        <v>90-Day Care Tracking</v>
      </c>
      <c r="D23" t="str">
        <v>Four results follow-ups, two specialist coordination sessions, and monthly progress checks.</v>
      </c>
      <c r="E23">
        <f>Source!G26</f>
      </c>
      <c r="F23" t="str">
        <v>per 90 days</v>
      </c>
      <c r="G23" t="str">
        <v>No</v>
      </c>
      <c r="H23" t="str">
        <v/>
      </c>
      <c r="I23" t="str">
        <v>Includes 4 results follow-ups + 2 specialist coordination sessions.</v>
      </c>
    </row>
  </sheetData>
  <ignoredErrors>
    <ignoredError numberStoredAsText="1" sqref="A1:I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cols>
    <col min="1" max="1" width="8.83203125" customWidth="1"/>
    <col min="2" max="2" width="28.83203125" customWidth="1"/>
    <col min="3" max="3" width="36.83203125" customWidth="1"/>
    <col min="4" max="4" width="72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2.83203125" customWidth="1"/>
    <col min="10" max="10" width="14.83203125" customWidth="1"/>
    <col min="11" max="11" width="40.83203125" customWidth="1"/>
  </cols>
  <sheetData>
    <row r="1">
      <c r="A1" t="str">
        <v>RMB to USD rate</v>
      </c>
      <c r="B1">
        <v>7.2</v>
      </c>
    </row>
    <row r="2">
      <c r="A2" t="str">
        <v>Buffer rate</v>
      </c>
      <c r="B2">
        <v>1.1</v>
      </c>
    </row>
    <row r="4">
      <c r="A4" t="str">
        <v>Stage</v>
      </c>
      <c r="B4" t="str">
        <v>Stage Title</v>
      </c>
      <c r="C4" t="str">
        <v>Service</v>
      </c>
      <c r="D4" t="str">
        <v>Description</v>
      </c>
      <c r="E4" t="str">
        <v>RMB</v>
      </c>
      <c r="F4" t="str">
        <v>USD Input</v>
      </c>
      <c r="G4" t="str">
        <v>USD Price</v>
      </c>
      <c r="H4" t="str">
        <v>Unit</v>
      </c>
      <c r="I4" t="str">
        <v>Required</v>
      </c>
      <c r="J4" t="str">
        <v>Required When</v>
      </c>
      <c r="K4" t="str">
        <v>Note</v>
      </c>
    </row>
    <row r="5">
      <c r="A5">
        <v>1</v>
      </c>
      <c r="B5" t="str">
        <v>Pre-Arrival Phase</v>
      </c>
      <c r="C5" t="str">
        <v>Initial Consultation</v>
      </c>
      <c r="D5" t="str">
        <v>Needs assessment, trust building, and basic guidance (non-medical advice).</v>
      </c>
      <c r="E5">
        <v>0</v>
      </c>
      <c r="F5" t="str">
        <v/>
      </c>
      <c r="G5">
        <f>ROUND(IF(F5&lt;&gt;"",F5,IF(E5&lt;&gt;"",E5/$B$1*$B$2,"")),0)</f>
      </c>
      <c r="H5" t="str">
        <v/>
      </c>
      <c r="I5" t="str">
        <v>Yes</v>
      </c>
      <c r="J5" t="str">
        <v/>
      </c>
      <c r="K5" t="str">
        <v/>
      </c>
    </row>
    <row r="6">
      <c r="A6">
        <v>1</v>
      </c>
      <c r="B6" t="str">
        <v>Pre-Arrival Phase</v>
      </c>
      <c r="C6" t="str">
        <v>Inbound Medical Records Translation</v>
      </c>
      <c r="D6" t="str">
        <v>Translate overseas medical records and imaging into a Chinese medical summary.</v>
      </c>
      <c r="E6">
        <v>1500</v>
      </c>
      <c r="F6" t="str">
        <v/>
      </c>
      <c r="G6">
        <f>ROUND(IF(F6&lt;&gt;"",F6,IF(E6&lt;&gt;"",E6/$B$1*$B$2,"")),0)</f>
      </c>
      <c r="H6" t="str">
        <v/>
      </c>
      <c r="I6" t="str">
        <v>Yes</v>
      </c>
      <c r="J6" t="str">
        <v/>
      </c>
      <c r="K6" t="str">
        <v/>
      </c>
    </row>
    <row r="7">
      <c r="A7">
        <v>1</v>
      </c>
      <c r="B7" t="str">
        <v>Pre-Arrival Phase</v>
      </c>
      <c r="C7" t="str">
        <v>Remote Expert Pre-diagnosis</v>
      </c>
      <c r="D7" t="str">
        <v>Preliminary plan and estimate from a top-tier specialist using translated records.</v>
      </c>
      <c r="E7">
        <v>2000</v>
      </c>
      <c r="F7" t="str">
        <v/>
      </c>
      <c r="G7">
        <f>ROUND(IF(F7&lt;&gt;"",F7,IF(E7&lt;&gt;"",E7/$B$1*$B$2,"")),0)</f>
      </c>
      <c r="H7" t="str">
        <v/>
      </c>
      <c r="I7" t="str">
        <v>Yes</v>
      </c>
      <c r="J7" t="str">
        <v/>
      </c>
      <c r="K7" t="str">
        <v/>
      </c>
    </row>
    <row r="8">
      <c r="A8">
        <v>1</v>
      </c>
      <c r="B8" t="str">
        <v>Pre-Arrival Phase</v>
      </c>
      <c r="C8" t="str">
        <v>Visa / Invitation Letter</v>
      </c>
      <c r="D8" t="str">
        <v>Hospital coordination and deposit handling for official medical invitation.</v>
      </c>
      <c r="E8">
        <v>5000</v>
      </c>
      <c r="F8" t="str">
        <v/>
      </c>
      <c r="G8">
        <f>ROUND(IF(F8&lt;&gt;"",F8,IF(E8&lt;&gt;"",E8/$B$1*$B$2,"")),0)</f>
      </c>
      <c r="H8" t="str">
        <v/>
      </c>
      <c r="I8" t="str">
        <v>No</v>
      </c>
      <c r="J8" t="str">
        <v/>
      </c>
      <c r="K8" t="str">
        <v/>
      </c>
    </row>
    <row r="9">
      <c r="A9">
        <v>1</v>
      </c>
      <c r="B9" t="str">
        <v>Pre-Arrival Phase</v>
      </c>
      <c r="C9" t="str">
        <v>Itinerary &amp; App Guidance</v>
      </c>
      <c r="D9" t="str">
        <v>Day-by-day itinerary plus setup guidance for Alipay/WeChat.</v>
      </c>
      <c r="E9">
        <v>0</v>
      </c>
      <c r="F9" t="str">
        <v/>
      </c>
      <c r="G9">
        <f>ROUND(IF(F9&lt;&gt;"",F9,IF(E9&lt;&gt;"",E9/$B$1*$B$2,"")),0)</f>
      </c>
      <c r="H9" t="str">
        <v/>
      </c>
      <c r="I9" t="str">
        <v>No</v>
      </c>
      <c r="J9" t="str">
        <v/>
      </c>
      <c r="K9" t="str">
        <v/>
      </c>
    </row>
    <row r="10">
      <c r="A10">
        <v>1</v>
      </c>
      <c r="B10" t="str">
        <v>Pre-Arrival Phase</v>
      </c>
      <c r="C10" t="str">
        <v>Travel Planning</v>
      </c>
      <c r="D10" t="str">
        <v>Helping client to plan the medical trip. Booking doctor’s appointment, lock hospital’s resources.</v>
      </c>
      <c r="E10" t="str">
        <v/>
      </c>
      <c r="F10">
        <v>500</v>
      </c>
      <c r="G10">
        <f>ROUND(IF(F10&lt;&gt;"",F10,IF(E10&lt;&gt;"",E10/$B$1*$B$2,"")),0)</f>
      </c>
      <c r="H10" t="str">
        <v/>
      </c>
      <c r="I10" t="str">
        <v>Yes</v>
      </c>
      <c r="J10" t="str">
        <v/>
      </c>
      <c r="K10" t="str">
        <v>Required planning fee applied to the VIP planning phase.</v>
      </c>
    </row>
    <row r="11">
      <c r="A11">
        <v>2</v>
      </c>
      <c r="B11" t="str">
        <v>Arrival &amp; Logistics</v>
      </c>
      <c r="C11" t="str">
        <v>VIP Airport Pickup</v>
      </c>
      <c r="D11" t="str">
        <v>Premium vehicle pickup (GL8 / Mercedes V-class) to hotel.</v>
      </c>
      <c r="E11">
        <v>800</v>
      </c>
      <c r="F11" t="str">
        <v/>
      </c>
      <c r="G11">
        <f>ROUND(IF(F11&lt;&gt;"",F11,IF(E11&lt;&gt;"",E11/$B$1*$B$2,"")),0)</f>
      </c>
      <c r="H11" t="str">
        <v/>
      </c>
      <c r="I11" t="str">
        <v>No</v>
      </c>
      <c r="J11" t="str">
        <v/>
      </c>
      <c r="K11" t="str">
        <v/>
      </c>
    </row>
    <row r="12">
      <c r="A12">
        <v>2</v>
      </c>
      <c r="B12" t="str">
        <v>Arrival &amp; Logistics</v>
      </c>
      <c r="C12" t="str">
        <v>Pocket Wi-Fi</v>
      </c>
      <c r="D12" t="str">
        <v>Portable Wi-Fi device for immediate connectivity.</v>
      </c>
      <c r="E12">
        <v>300</v>
      </c>
      <c r="F12" t="str">
        <v/>
      </c>
      <c r="G12">
        <f>ROUND(IF(F12&lt;&gt;"",F12,IF(E12&lt;&gt;"",E12/$B$1*$B$2,"")),0)</f>
      </c>
      <c r="H12" t="str">
        <v/>
      </c>
      <c r="I12" t="str">
        <v>Yes</v>
      </c>
      <c r="J12" t="str">
        <v/>
      </c>
      <c r="K12" t="str">
        <v/>
      </c>
    </row>
    <row r="13">
      <c r="A13">
        <v>2</v>
      </c>
      <c r="B13" t="str">
        <v>Arrival &amp; Logistics</v>
      </c>
      <c r="C13" t="str">
        <v>Accommodation Arrangement</v>
      </c>
      <c r="D13" t="str">
        <v>Five-night premium hotel or serviced apartment coordination.</v>
      </c>
      <c r="E13">
        <v>8000</v>
      </c>
      <c r="F13" t="str">
        <v/>
      </c>
      <c r="G13">
        <f>ROUND(IF(F13&lt;&gt;"",F13,IF(E13&lt;&gt;"",E13/$B$1*$B$2,"")),0)</f>
      </c>
      <c r="H13" t="str">
        <v/>
      </c>
      <c r="I13" t="str">
        <v>No</v>
      </c>
      <c r="J13" t="str">
        <v/>
      </c>
      <c r="K13" t="str">
        <v/>
      </c>
    </row>
    <row r="14">
      <c r="A14">
        <v>2</v>
      </c>
      <c r="B14" t="str">
        <v>Arrival &amp; Logistics</v>
      </c>
      <c r="C14" t="str">
        <v>Dedicated Driver</v>
      </c>
      <c r="D14" t="str">
        <v>Private vehicle with driver, fuel, tolls, and allowances included.</v>
      </c>
      <c r="E14">
        <v>7500</v>
      </c>
      <c r="F14" t="str">
        <v/>
      </c>
      <c r="G14">
        <f>ROUND(IF(F14&lt;&gt;"",F14,IF(E14&lt;&gt;"",E14/$B$1*$B$2,"")),0)</f>
      </c>
      <c r="H14" t="str">
        <v/>
      </c>
      <c r="I14" t="str">
        <v>No</v>
      </c>
      <c r="J14" t="str">
        <v/>
      </c>
      <c r="K14" t="str">
        <v/>
      </c>
    </row>
    <row r="15">
      <c r="A15">
        <v>3</v>
      </c>
      <c r="B15" t="str">
        <v>Medical Execution</v>
      </c>
      <c r="C15" t="str">
        <v>Green Channel Management</v>
      </c>
      <c r="D15" t="str">
        <v>Priority access coordination for scarce specialist resources.</v>
      </c>
      <c r="E15">
        <v>5000</v>
      </c>
      <c r="F15" t="str">
        <v/>
      </c>
      <c r="G15">
        <f>ROUND(IF(F15&lt;&gt;"",F15,IF(E15&lt;&gt;"",E15/$B$1*$B$2,"")),0)</f>
      </c>
      <c r="H15" t="str">
        <v/>
      </c>
      <c r="I15" t="str">
        <v>No</v>
      </c>
      <c r="J15" t="str">
        <v>surgery</v>
      </c>
      <c r="K15" t="str">
        <v>Required for surgical cases.</v>
      </c>
    </row>
    <row r="16">
      <c r="A16">
        <v>3</v>
      </c>
      <c r="B16" t="str">
        <v>Medical Execution</v>
      </c>
      <c r="C16" t="str">
        <v>Registration</v>
      </c>
      <c r="D16" t="str">
        <v>Hospital registration handling for appointments and access.</v>
      </c>
      <c r="E16">
        <v>600</v>
      </c>
      <c r="F16" t="str">
        <v/>
      </c>
      <c r="G16">
        <f>ROUND(IF(F16&lt;&gt;"",F16,IF(E16&lt;&gt;"",E16/$B$1*$B$2,"")),0)</f>
      </c>
      <c r="H16" t="str">
        <v/>
      </c>
      <c r="I16" t="str">
        <v>Yes</v>
      </c>
      <c r="J16" t="str">
        <v/>
      </c>
      <c r="K16" t="str">
        <v/>
      </c>
    </row>
    <row r="17">
      <c r="A17">
        <v>3</v>
      </c>
      <c r="B17" t="str">
        <v>Medical Execution</v>
      </c>
      <c r="C17" t="str">
        <v>Specimen / Report Runner</v>
      </c>
      <c r="D17" t="str">
        <v>Pick up paper reports, deliver pathology slides, or transport medication.</v>
      </c>
      <c r="E17">
        <v>200</v>
      </c>
      <c r="F17" t="str">
        <v/>
      </c>
      <c r="G17">
        <f>ROUND(IF(F17&lt;&gt;"",F17,IF(E17&lt;&gt;"",E17/$B$1*$B$2,"")),0)</f>
      </c>
      <c r="H17" t="str">
        <v/>
      </c>
      <c r="I17" t="str">
        <v>No</v>
      </c>
      <c r="J17" t="str">
        <v/>
      </c>
      <c r="K17" t="str">
        <v/>
      </c>
    </row>
    <row r="18">
      <c r="A18">
        <v>3</v>
      </c>
      <c r="B18" t="str">
        <v>Medical Execution</v>
      </c>
      <c r="C18" t="str">
        <v>Inpatient / Personal Care Assistant</v>
      </c>
      <c r="D18" t="str">
        <v>24-hour personal care assistant if hospitalization is required.</v>
      </c>
      <c r="E18">
        <v>400</v>
      </c>
      <c r="F18" t="str">
        <v/>
      </c>
      <c r="G18">
        <f>ROUND(IF(F18&lt;&gt;"",F18,IF(E18&lt;&gt;"",E18/$B$1*$B$2,"")),0)</f>
      </c>
      <c r="H18" t="str">
        <v>per day</v>
      </c>
      <c r="I18" t="str">
        <v>No</v>
      </c>
      <c r="J18" t="str">
        <v/>
      </c>
      <c r="K18" t="str">
        <v/>
      </c>
    </row>
    <row r="19">
      <c r="A19">
        <v>4</v>
      </c>
      <c r="B19" t="str">
        <v>Recovery &amp; Cultural Experience</v>
      </c>
      <c r="C19" t="str">
        <v>Acupuncture or Massage</v>
      </c>
      <c r="D19" t="str">
        <v>Wellness-focused TCM experience for recovery and relaxation.</v>
      </c>
      <c r="E19">
        <v>2000</v>
      </c>
      <c r="F19" t="str">
        <v/>
      </c>
      <c r="G19">
        <f>ROUND(IF(F19&lt;&gt;"",F19,IF(E19&lt;&gt;"",E19/$B$1*$B$2,"")),0)</f>
      </c>
      <c r="H19" t="str">
        <v/>
      </c>
      <c r="I19" t="str">
        <v>No</v>
      </c>
      <c r="J19" t="str">
        <v/>
      </c>
      <c r="K19" t="str">
        <v/>
      </c>
    </row>
    <row r="20">
      <c r="A20">
        <v>4</v>
      </c>
      <c r="B20" t="str">
        <v>Recovery &amp; Cultural Experience</v>
      </c>
      <c r="C20" t="str">
        <v>Dining Reservations</v>
      </c>
      <c r="D20" t="str">
        <v>Recovery-friendly dining reservations (medicinal cuisine or premium dining).</v>
      </c>
      <c r="E20">
        <v>800</v>
      </c>
      <c r="F20" t="str">
        <v/>
      </c>
      <c r="G20">
        <f>ROUND(IF(F20&lt;&gt;"",F20,IF(E20&lt;&gt;"",E20/$B$1*$B$2,"")),0)</f>
      </c>
      <c r="H20" t="str">
        <v>per person</v>
      </c>
      <c r="I20" t="str">
        <v>No</v>
      </c>
      <c r="J20" t="str">
        <v/>
      </c>
      <c r="K20" t="str">
        <v/>
      </c>
    </row>
    <row r="21">
      <c r="A21">
        <v>5</v>
      </c>
      <c r="B21" t="str">
        <v>Departure &amp; Follow-up</v>
      </c>
      <c r="C21" t="str">
        <v>Discharge Summary / Surgery Record / Pathology Report Translation</v>
      </c>
      <c r="D21" t="str">
        <v>Translate key medical records for post-visit use abroad.</v>
      </c>
      <c r="E21">
        <v>2000</v>
      </c>
      <c r="F21" t="str">
        <v/>
      </c>
      <c r="G21">
        <f>ROUND(IF(F21&lt;&gt;"",F21,IF(E21&lt;&gt;"",E21/$B$1*$B$2,"")),0)</f>
      </c>
      <c r="H21" t="str">
        <v/>
      </c>
      <c r="I21" t="str">
        <v>Yes</v>
      </c>
      <c r="J21" t="str">
        <v/>
      </c>
      <c r="K21" t="str">
        <v/>
      </c>
    </row>
    <row r="22">
      <c r="A22">
        <v>6</v>
      </c>
      <c r="B22" t="str">
        <v>Post-op / Post-illness Follow-up</v>
      </c>
      <c r="C22" t="str">
        <v>Follow-up Reminder &amp; Prep (Lite)</v>
      </c>
      <c r="D22" t="str">
        <v>Lightweight follow-up reminders plus a structured question checklist.</v>
      </c>
      <c r="E22" t="str">
        <v/>
      </c>
      <c r="F22">
        <v>99</v>
      </c>
      <c r="G22">
        <f>ROUND(IF(F22&lt;&gt;"",F22,IF(E22&lt;&gt;"",E22/$B$1*$B$2,"")),0)</f>
      </c>
      <c r="H22" t="str">
        <v>per session</v>
      </c>
      <c r="I22" t="str">
        <v>No</v>
      </c>
      <c r="J22" t="str">
        <v/>
      </c>
      <c r="K22" t="str">
        <v>Includes one reminder cycle and a structured checklist.</v>
      </c>
    </row>
    <row r="23">
      <c r="A23">
        <v>6</v>
      </c>
      <c r="B23" t="str">
        <v>Post-op / Post-illness Follow-up</v>
      </c>
      <c r="C23" t="str">
        <v>Results Follow-up &amp; Summary</v>
      </c>
      <c r="D23" t="str">
        <v>Collect, organize, and relay test results with a concise summary for review.</v>
      </c>
      <c r="E23" t="str">
        <v/>
      </c>
      <c r="F23">
        <v>180</v>
      </c>
      <c r="G23">
        <f>ROUND(IF(F23&lt;&gt;"",F23,IF(E23&lt;&gt;"",E23/$B$1*$B$2,"")),0)</f>
      </c>
      <c r="H23" t="str">
        <v>per session</v>
      </c>
      <c r="I23" t="str">
        <v>No</v>
      </c>
      <c r="J23" t="str">
        <v/>
      </c>
      <c r="K23" t="str">
        <v>Includes up to 1 results package with summary delivery.</v>
      </c>
    </row>
    <row r="24">
      <c r="A24">
        <v>6</v>
      </c>
      <c r="B24" t="str">
        <v>Post-op / Post-illness Follow-up</v>
      </c>
      <c r="C24" t="str">
        <v>Specialist Follow-up Coordination</v>
      </c>
      <c r="D24" t="str">
        <v>Schedule a follow-up consultation and deliver a post-visit brief.</v>
      </c>
      <c r="E24" t="str">
        <v/>
      </c>
      <c r="F24">
        <v>320</v>
      </c>
      <c r="G24">
        <f>ROUND(IF(F24&lt;&gt;"",F24,IF(E24&lt;&gt;"",E24/$B$1*$B$2,"")),0)</f>
      </c>
      <c r="H24" t="str">
        <v>per session</v>
      </c>
      <c r="I24" t="str">
        <v>No</v>
      </c>
      <c r="J24" t="str">
        <v/>
      </c>
      <c r="K24" t="str">
        <v>Includes scheduling + post-visit brief. Specialist fees billed separately.</v>
      </c>
    </row>
    <row r="25">
      <c r="A25">
        <v>6</v>
      </c>
      <c r="B25" t="str">
        <v>Post-op / Post-illness Follow-up</v>
      </c>
      <c r="C25" t="str">
        <v>30-Day Care Tracking</v>
      </c>
      <c r="D25" t="str">
        <v>Two results follow-ups plus one specialist coordination with a timeline summary.</v>
      </c>
      <c r="E25" t="str">
        <v/>
      </c>
      <c r="F25">
        <v>680</v>
      </c>
      <c r="G25">
        <f>ROUND(IF(F25&lt;&gt;"",F25,IF(E25&lt;&gt;"",E25/$B$1*$B$2,"")),0)</f>
      </c>
      <c r="H25" t="str">
        <v>per 30 days</v>
      </c>
      <c r="I25" t="str">
        <v>No</v>
      </c>
      <c r="J25" t="str">
        <v/>
      </c>
      <c r="K25" t="str">
        <v>Includes 2 results follow-ups + 1 specialist coordination.</v>
      </c>
    </row>
    <row r="26">
      <c r="A26">
        <v>6</v>
      </c>
      <c r="B26" t="str">
        <v>Post-op / Post-illness Follow-up</v>
      </c>
      <c r="C26" t="str">
        <v>90-Day Care Tracking</v>
      </c>
      <c r="D26" t="str">
        <v>Four results follow-ups, two specialist coordination sessions, and monthly progress checks.</v>
      </c>
      <c r="E26" t="str">
        <v/>
      </c>
      <c r="F26">
        <v>1480</v>
      </c>
      <c r="G26">
        <f>ROUND(IF(F26&lt;&gt;"",F26,IF(E26&lt;&gt;"",E26/$B$1*$B$2,"")),0)</f>
      </c>
      <c r="H26" t="str">
        <v>per 90 days</v>
      </c>
      <c r="I26" t="str">
        <v>No</v>
      </c>
      <c r="J26" t="str">
        <v/>
      </c>
      <c r="K26" t="str">
        <v>Includes 4 results follow-ups + 2 specialist coordination sessions.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VIP Services</vt:lpstr>
      <vt:lpstr>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